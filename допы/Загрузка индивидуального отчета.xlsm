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reports\допы\"/>
    </mc:Choice>
  </mc:AlternateContent>
  <xr:revisionPtr revIDLastSave="0" documentId="13_ncr:1_{BEC5E5EA-7866-4AC7-88BB-74343E6F38E1}" xr6:coauthVersionLast="45" xr6:coauthVersionMax="45" xr10:uidLastSave="{00000000-0000-0000-0000-000000000000}"/>
  <bookViews>
    <workbookView xWindow="390" yWindow="390" windowWidth="21600" windowHeight="11385" tabRatio="745" activeTab="1" xr2:uid="{00000000-000D-0000-FFFF-FFFF00000000}"/>
  </bookViews>
  <sheets>
    <sheet name="ответы" sheetId="5" r:id="rId1"/>
    <sheet name="ДАННЫЕ" sheetId="4" r:id="rId2"/>
    <sheet name="комментарии для отчета" sheetId="10" r:id="rId3"/>
  </sheets>
  <functionGroups builtInGroupCount="19"/>
  <definedNames>
    <definedName name="_xlnm._FilterDatabase" localSheetId="2" hidden="1">'комментарии для отчета'!$A$1:$F$531</definedName>
    <definedName name="_xlnm._FilterDatabase" localSheetId="0" hidden="1">ответы!$A$1:$F$442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0" i="4" l="1"/>
  <c r="Z21" i="4"/>
  <c r="Z20" i="4"/>
  <c r="Z19" i="4"/>
  <c r="Z18" i="4"/>
  <c r="Z17" i="4"/>
  <c r="Z8" i="4"/>
  <c r="Z9" i="4"/>
  <c r="Z10" i="4"/>
  <c r="Z11" i="4"/>
  <c r="Z12" i="4"/>
  <c r="Z13" i="4"/>
  <c r="Z14" i="4"/>
  <c r="Z15" i="4"/>
  <c r="Z16" i="4"/>
  <c r="Z7" i="4"/>
  <c r="I57" i="4"/>
  <c r="I56" i="4"/>
  <c r="I55" i="4"/>
  <c r="I54" i="4"/>
  <c r="I53" i="4"/>
  <c r="I52" i="4"/>
  <c r="I51" i="4"/>
  <c r="I50" i="4"/>
  <c r="I49" i="4"/>
  <c r="I48" i="4"/>
  <c r="I45" i="4"/>
  <c r="I44" i="4"/>
  <c r="I43" i="4"/>
  <c r="I42" i="4"/>
  <c r="I41" i="4"/>
  <c r="I40" i="4"/>
  <c r="I39" i="4"/>
  <c r="I38" i="4"/>
  <c r="I37" i="4"/>
  <c r="I36" i="4"/>
  <c r="I35" i="4"/>
  <c r="I34" i="4"/>
  <c r="I30" i="4"/>
  <c r="I29" i="4"/>
  <c r="I28" i="4"/>
  <c r="I27" i="4"/>
  <c r="I26" i="4"/>
  <c r="I25" i="4"/>
  <c r="I23" i="4"/>
  <c r="I22" i="4"/>
  <c r="I21" i="4"/>
  <c r="I20" i="4"/>
  <c r="I19" i="4"/>
  <c r="I17" i="4"/>
  <c r="I16" i="4"/>
  <c r="I14" i="4"/>
  <c r="I13" i="4"/>
  <c r="I12" i="4"/>
  <c r="K14" i="4" l="1"/>
  <c r="F531" i="10" l="1"/>
  <c r="E531" i="10"/>
  <c r="F530" i="10"/>
  <c r="E530" i="10"/>
  <c r="F529" i="10"/>
  <c r="E529" i="10"/>
  <c r="F528" i="10"/>
  <c r="E528" i="10"/>
  <c r="F527" i="10"/>
  <c r="E527" i="10"/>
  <c r="F526" i="10"/>
  <c r="E526" i="10"/>
  <c r="F525" i="10"/>
  <c r="E525" i="10"/>
  <c r="F524" i="10"/>
  <c r="E524" i="10"/>
  <c r="F523" i="10"/>
  <c r="E523" i="10"/>
  <c r="F522" i="10"/>
  <c r="E522" i="10"/>
  <c r="F521" i="10"/>
  <c r="E521" i="10"/>
  <c r="F520" i="10"/>
  <c r="E520" i="10"/>
  <c r="F519" i="10"/>
  <c r="E519" i="10"/>
  <c r="F518" i="10"/>
  <c r="E518" i="10"/>
  <c r="F517" i="10"/>
  <c r="E517" i="10"/>
  <c r="F516" i="10"/>
  <c r="E516" i="10"/>
  <c r="F515" i="10"/>
  <c r="E515" i="10"/>
  <c r="F514" i="10"/>
  <c r="E514" i="10"/>
  <c r="F513" i="10"/>
  <c r="E513" i="10"/>
  <c r="F512" i="10"/>
  <c r="E512" i="10"/>
  <c r="F511" i="10"/>
  <c r="E511" i="10"/>
  <c r="F510" i="10"/>
  <c r="E510" i="10"/>
  <c r="F509" i="10"/>
  <c r="E509" i="10"/>
  <c r="F508" i="10"/>
  <c r="E508" i="10"/>
  <c r="F507" i="10"/>
  <c r="E507" i="10"/>
  <c r="F506" i="10"/>
  <c r="E506" i="10"/>
  <c r="F505" i="10"/>
  <c r="E505" i="10"/>
  <c r="F504" i="10"/>
  <c r="E504" i="10"/>
  <c r="F503" i="10"/>
  <c r="E503" i="10"/>
  <c r="F502" i="10"/>
  <c r="E502" i="10"/>
  <c r="F501" i="10"/>
  <c r="E501" i="10"/>
  <c r="F500" i="10"/>
  <c r="E500" i="10"/>
  <c r="F499" i="10"/>
  <c r="E499" i="10"/>
  <c r="F498" i="10"/>
  <c r="E498" i="10"/>
  <c r="F497" i="10"/>
  <c r="E497" i="10"/>
  <c r="F496" i="10"/>
  <c r="E496" i="10"/>
  <c r="F495" i="10"/>
  <c r="E495" i="10"/>
  <c r="F494" i="10"/>
  <c r="E494" i="10"/>
  <c r="F493" i="10"/>
  <c r="E493" i="10"/>
  <c r="F492" i="10"/>
  <c r="E492" i="10"/>
  <c r="F491" i="10"/>
  <c r="E491" i="10"/>
  <c r="F490" i="10"/>
  <c r="E490" i="10"/>
  <c r="F489" i="10"/>
  <c r="E489" i="10"/>
  <c r="F488" i="10"/>
  <c r="E488" i="10"/>
  <c r="F487" i="10"/>
  <c r="E487" i="10"/>
  <c r="F486" i="10"/>
  <c r="E486" i="10"/>
  <c r="F485" i="10"/>
  <c r="E485" i="10"/>
  <c r="F484" i="10"/>
  <c r="E484" i="10"/>
  <c r="F483" i="10"/>
  <c r="E483" i="10"/>
  <c r="F482" i="10"/>
  <c r="E482" i="10"/>
  <c r="F481" i="10"/>
  <c r="E481" i="10"/>
  <c r="F480" i="10"/>
  <c r="E480" i="10"/>
  <c r="F479" i="10"/>
  <c r="E479" i="10"/>
  <c r="F478" i="10"/>
  <c r="E478" i="10"/>
  <c r="F477" i="10"/>
  <c r="E477" i="10"/>
  <c r="F476" i="10"/>
  <c r="E476" i="10"/>
  <c r="F475" i="10"/>
  <c r="E475" i="10"/>
  <c r="F474" i="10"/>
  <c r="E474" i="10"/>
  <c r="F473" i="10"/>
  <c r="E473" i="10"/>
  <c r="F472" i="10"/>
  <c r="E472" i="10"/>
  <c r="F471" i="10"/>
  <c r="E471" i="10"/>
  <c r="F470" i="10"/>
  <c r="E470" i="10"/>
  <c r="F469" i="10"/>
  <c r="E469" i="10"/>
  <c r="F468" i="10"/>
  <c r="E468" i="10"/>
  <c r="F467" i="10"/>
  <c r="E467" i="10"/>
  <c r="F466" i="10"/>
  <c r="E466" i="10"/>
  <c r="F465" i="10"/>
  <c r="E465" i="10"/>
  <c r="F464" i="10"/>
  <c r="E464" i="10"/>
  <c r="F463" i="10"/>
  <c r="E463" i="10"/>
  <c r="F462" i="10"/>
  <c r="E462" i="10"/>
  <c r="F461" i="10"/>
  <c r="E461" i="10"/>
  <c r="F460" i="10"/>
  <c r="E460" i="10"/>
  <c r="F459" i="10"/>
  <c r="E459" i="10"/>
  <c r="F458" i="10"/>
  <c r="E458" i="10"/>
  <c r="F457" i="10"/>
  <c r="E457" i="10"/>
  <c r="F456" i="10"/>
  <c r="E456" i="10"/>
  <c r="F455" i="10"/>
  <c r="E455" i="10"/>
  <c r="F454" i="10"/>
  <c r="E454" i="10"/>
  <c r="F453" i="10"/>
  <c r="E453" i="10"/>
  <c r="F452" i="10"/>
  <c r="E452" i="10"/>
  <c r="F451" i="10"/>
  <c r="E451" i="10"/>
  <c r="F450" i="10"/>
  <c r="E450" i="10"/>
  <c r="F449" i="10"/>
  <c r="E449" i="10"/>
  <c r="F448" i="10"/>
  <c r="E448" i="10"/>
  <c r="F447" i="10"/>
  <c r="E447" i="10"/>
  <c r="F446" i="10"/>
  <c r="E446" i="10"/>
  <c r="F445" i="10"/>
  <c r="E445" i="10"/>
  <c r="F444" i="10"/>
  <c r="E444" i="10"/>
  <c r="F443" i="10"/>
  <c r="E443" i="10"/>
  <c r="F442" i="10"/>
  <c r="E442" i="10"/>
  <c r="F441" i="10"/>
  <c r="E441" i="10"/>
  <c r="F440" i="10"/>
  <c r="E440" i="10"/>
  <c r="F439" i="10"/>
  <c r="E439" i="10"/>
  <c r="F438" i="10"/>
  <c r="E438" i="10"/>
  <c r="F437" i="10"/>
  <c r="E437" i="10"/>
  <c r="F436" i="10"/>
  <c r="E436" i="10"/>
  <c r="F435" i="10"/>
  <c r="E435" i="10"/>
  <c r="F434" i="10"/>
  <c r="E434" i="10"/>
  <c r="F433" i="10"/>
  <c r="E433" i="10"/>
  <c r="F432" i="10"/>
  <c r="E432" i="10"/>
  <c r="F431" i="10"/>
  <c r="E431" i="10"/>
  <c r="F430" i="10"/>
  <c r="E430" i="10"/>
  <c r="F429" i="10"/>
  <c r="E429" i="10"/>
  <c r="F428" i="10"/>
  <c r="E428" i="10"/>
  <c r="F427" i="10"/>
  <c r="E427" i="10"/>
  <c r="F426" i="10"/>
  <c r="E426" i="10"/>
  <c r="F425" i="10"/>
  <c r="E425" i="10"/>
  <c r="F424" i="10"/>
  <c r="E424" i="10"/>
  <c r="F423" i="10"/>
  <c r="E423" i="10"/>
  <c r="F422" i="10"/>
  <c r="E422" i="10"/>
  <c r="F421" i="10"/>
  <c r="E421" i="10"/>
  <c r="F420" i="10"/>
  <c r="E420" i="10"/>
  <c r="F419" i="10"/>
  <c r="E419" i="10"/>
  <c r="F418" i="10"/>
  <c r="E418" i="10"/>
  <c r="F417" i="10"/>
  <c r="E417" i="10"/>
  <c r="F416" i="10"/>
  <c r="E416" i="10"/>
  <c r="F415" i="10"/>
  <c r="E415" i="10"/>
  <c r="F414" i="10"/>
  <c r="E414" i="10"/>
  <c r="F413" i="10"/>
  <c r="E413" i="10"/>
  <c r="F412" i="10"/>
  <c r="E412" i="10"/>
  <c r="F411" i="10"/>
  <c r="E411" i="10"/>
  <c r="F410" i="10"/>
  <c r="E410" i="10"/>
  <c r="F409" i="10"/>
  <c r="E409" i="10"/>
  <c r="F408" i="10"/>
  <c r="E408" i="10"/>
  <c r="F407" i="10"/>
  <c r="E407" i="10"/>
  <c r="F406" i="10"/>
  <c r="E406" i="10"/>
  <c r="F405" i="10"/>
  <c r="E405" i="10"/>
  <c r="F404" i="10"/>
  <c r="E404" i="10"/>
  <c r="F403" i="10"/>
  <c r="E403" i="10"/>
  <c r="F402" i="10"/>
  <c r="E402" i="10"/>
  <c r="F401" i="10"/>
  <c r="E401" i="10"/>
  <c r="F400" i="10"/>
  <c r="E400" i="10"/>
  <c r="F399" i="10"/>
  <c r="E399" i="10"/>
  <c r="F398" i="10"/>
  <c r="E398" i="10"/>
  <c r="F397" i="10"/>
  <c r="E397" i="10"/>
  <c r="F396" i="10"/>
  <c r="E396" i="10"/>
  <c r="F395" i="10"/>
  <c r="E395" i="10"/>
  <c r="F394" i="10"/>
  <c r="E394" i="10"/>
  <c r="F393" i="10"/>
  <c r="E393" i="10"/>
  <c r="F392" i="10"/>
  <c r="E392" i="10"/>
  <c r="F391" i="10"/>
  <c r="E391" i="10"/>
  <c r="F390" i="10"/>
  <c r="E390" i="10"/>
  <c r="F389" i="10"/>
  <c r="E389" i="10"/>
  <c r="F388" i="10"/>
  <c r="E388" i="10"/>
  <c r="F387" i="10"/>
  <c r="E387" i="10"/>
  <c r="F386" i="10"/>
  <c r="E386" i="10"/>
  <c r="F385" i="10"/>
  <c r="E385" i="10"/>
  <c r="F384" i="10"/>
  <c r="E384" i="10"/>
  <c r="F383" i="10"/>
  <c r="E383" i="10"/>
  <c r="F382" i="10"/>
  <c r="E382" i="10"/>
  <c r="F381" i="10"/>
  <c r="E381" i="10"/>
  <c r="F380" i="10"/>
  <c r="E380" i="10"/>
  <c r="F379" i="10"/>
  <c r="E379" i="10"/>
  <c r="F378" i="10"/>
  <c r="E378" i="10"/>
  <c r="F377" i="10"/>
  <c r="E377" i="10"/>
  <c r="F376" i="10"/>
  <c r="E376" i="10"/>
  <c r="F375" i="10"/>
  <c r="E375" i="10"/>
  <c r="F374" i="10"/>
  <c r="E374" i="10"/>
  <c r="F373" i="10"/>
  <c r="E373" i="10"/>
  <c r="F372" i="10"/>
  <c r="E372" i="10"/>
  <c r="F371" i="10"/>
  <c r="E371" i="10"/>
  <c r="F370" i="10"/>
  <c r="E370" i="10"/>
  <c r="F369" i="10"/>
  <c r="E369" i="10"/>
  <c r="F368" i="10"/>
  <c r="E368" i="10"/>
  <c r="F367" i="10"/>
  <c r="E367" i="10"/>
  <c r="F366" i="10"/>
  <c r="E366" i="10"/>
  <c r="F365" i="10"/>
  <c r="E365" i="10"/>
  <c r="F364" i="10"/>
  <c r="E364" i="10"/>
  <c r="F363" i="10"/>
  <c r="E363" i="10"/>
  <c r="F362" i="10"/>
  <c r="E362" i="10"/>
  <c r="F361" i="10"/>
  <c r="E361" i="10"/>
  <c r="F360" i="10"/>
  <c r="E360" i="10"/>
  <c r="F359" i="10"/>
  <c r="E359" i="10"/>
  <c r="F358" i="10"/>
  <c r="E358" i="10"/>
  <c r="F357" i="10"/>
  <c r="E357" i="10"/>
  <c r="F356" i="10"/>
  <c r="E356" i="10"/>
  <c r="F355" i="10"/>
  <c r="E355" i="10"/>
  <c r="F354" i="10"/>
  <c r="E354" i="10"/>
  <c r="F353" i="10"/>
  <c r="E353" i="10"/>
  <c r="F352" i="10"/>
  <c r="E352" i="10"/>
  <c r="F351" i="10"/>
  <c r="E351" i="10"/>
  <c r="F350" i="10"/>
  <c r="E350" i="10"/>
  <c r="F349" i="10"/>
  <c r="E349" i="10"/>
  <c r="F348" i="10"/>
  <c r="E348" i="10"/>
  <c r="F347" i="10"/>
  <c r="E347" i="10"/>
  <c r="F346" i="10"/>
  <c r="E346" i="10"/>
  <c r="F345" i="10"/>
  <c r="E345" i="10"/>
  <c r="F344" i="10"/>
  <c r="E344" i="10"/>
  <c r="F343" i="10"/>
  <c r="E343" i="10"/>
  <c r="F342" i="10"/>
  <c r="E342" i="10"/>
  <c r="F341" i="10"/>
  <c r="E341" i="10"/>
  <c r="F340" i="10"/>
  <c r="E340" i="10"/>
  <c r="F339" i="10"/>
  <c r="E339" i="10"/>
  <c r="F338" i="10"/>
  <c r="E338" i="10"/>
  <c r="F337" i="10"/>
  <c r="E337" i="10"/>
  <c r="F336" i="10"/>
  <c r="E336" i="10"/>
  <c r="F335" i="10"/>
  <c r="E335" i="10"/>
  <c r="F334" i="10"/>
  <c r="E334" i="10"/>
  <c r="F333" i="10"/>
  <c r="E333" i="10"/>
  <c r="F332" i="10"/>
  <c r="E332" i="10"/>
  <c r="F331" i="10"/>
  <c r="E331" i="10"/>
  <c r="F330" i="10"/>
  <c r="E330" i="10"/>
  <c r="F329" i="10"/>
  <c r="E329" i="10"/>
  <c r="F328" i="10"/>
  <c r="E328" i="10"/>
  <c r="F327" i="10"/>
  <c r="E327" i="10"/>
  <c r="F326" i="10"/>
  <c r="E326" i="10"/>
  <c r="F325" i="10"/>
  <c r="E325" i="10"/>
  <c r="F324" i="10"/>
  <c r="E324" i="10"/>
  <c r="F323" i="10"/>
  <c r="E323" i="10"/>
  <c r="F322" i="10"/>
  <c r="E322" i="10"/>
  <c r="F321" i="10"/>
  <c r="E321" i="10"/>
  <c r="F320" i="10"/>
  <c r="E320" i="10"/>
  <c r="F319" i="10"/>
  <c r="E319" i="10"/>
  <c r="F318" i="10"/>
  <c r="E318" i="10"/>
  <c r="F317" i="10"/>
  <c r="E317" i="10"/>
  <c r="F316" i="10"/>
  <c r="E316" i="10"/>
  <c r="F315" i="10"/>
  <c r="E315" i="10"/>
  <c r="F314" i="10"/>
  <c r="E314" i="10"/>
  <c r="F313" i="10"/>
  <c r="E313" i="10"/>
  <c r="F312" i="10"/>
  <c r="E312" i="10"/>
  <c r="F311" i="10"/>
  <c r="E311" i="10"/>
  <c r="F310" i="10"/>
  <c r="E310" i="10"/>
  <c r="F309" i="10"/>
  <c r="E309" i="10"/>
  <c r="F308" i="10"/>
  <c r="E308" i="10"/>
  <c r="F307" i="10"/>
  <c r="E307" i="10"/>
  <c r="F306" i="10"/>
  <c r="E306" i="10"/>
  <c r="F305" i="10"/>
  <c r="E305" i="10"/>
  <c r="F304" i="10"/>
  <c r="E304" i="10"/>
  <c r="F303" i="10"/>
  <c r="E303" i="10"/>
  <c r="F302" i="10"/>
  <c r="E302" i="10"/>
  <c r="F301" i="10"/>
  <c r="E301" i="10"/>
  <c r="F300" i="10"/>
  <c r="E300" i="10"/>
  <c r="F299" i="10"/>
  <c r="E299" i="10"/>
  <c r="F298" i="10"/>
  <c r="E298" i="10"/>
  <c r="F297" i="10"/>
  <c r="E297" i="10"/>
  <c r="F296" i="10"/>
  <c r="E296" i="10"/>
  <c r="F295" i="10"/>
  <c r="E295" i="10"/>
  <c r="F294" i="10"/>
  <c r="E294" i="10"/>
  <c r="F293" i="10"/>
  <c r="E293" i="10"/>
  <c r="F292" i="10"/>
  <c r="E292" i="10"/>
  <c r="F291" i="10"/>
  <c r="E291" i="10"/>
  <c r="F290" i="10"/>
  <c r="E290" i="10"/>
  <c r="F289" i="10"/>
  <c r="E289" i="10"/>
  <c r="F288" i="10"/>
  <c r="E288" i="10"/>
  <c r="F287" i="10"/>
  <c r="E287" i="10"/>
  <c r="F286" i="10"/>
  <c r="E286" i="10"/>
  <c r="F285" i="10"/>
  <c r="E285" i="10"/>
  <c r="F284" i="10"/>
  <c r="E284" i="10"/>
  <c r="F283" i="10"/>
  <c r="E283" i="10"/>
  <c r="F282" i="10"/>
  <c r="E282" i="10"/>
  <c r="F281" i="10"/>
  <c r="E281" i="10"/>
  <c r="F280" i="10"/>
  <c r="E280" i="10"/>
  <c r="F279" i="10"/>
  <c r="E279" i="10"/>
  <c r="F278" i="10"/>
  <c r="E278" i="10"/>
  <c r="F277" i="10"/>
  <c r="E277" i="10"/>
  <c r="F276" i="10"/>
  <c r="E276" i="10"/>
  <c r="F275" i="10"/>
  <c r="E275" i="10"/>
  <c r="F274" i="10"/>
  <c r="E274" i="10"/>
  <c r="F273" i="10"/>
  <c r="E273" i="10"/>
  <c r="F272" i="10"/>
  <c r="E272" i="10"/>
  <c r="F271" i="10"/>
  <c r="E271" i="10"/>
  <c r="F270" i="10"/>
  <c r="E270" i="10"/>
  <c r="F269" i="10"/>
  <c r="E269" i="10"/>
  <c r="F268" i="10"/>
  <c r="E268" i="10"/>
  <c r="F267" i="10"/>
  <c r="E267" i="10"/>
  <c r="F266" i="10"/>
  <c r="E266" i="10"/>
  <c r="F265" i="10"/>
  <c r="E265" i="10"/>
  <c r="F264" i="10"/>
  <c r="E264" i="10"/>
  <c r="F263" i="10"/>
  <c r="E263" i="10"/>
  <c r="F262" i="10"/>
  <c r="E262" i="10"/>
  <c r="F261" i="10"/>
  <c r="E261" i="10"/>
  <c r="F260" i="10"/>
  <c r="E260" i="10"/>
  <c r="F259" i="10"/>
  <c r="E259" i="10"/>
  <c r="F258" i="10"/>
  <c r="E258" i="10"/>
  <c r="F257" i="10"/>
  <c r="E257" i="10"/>
  <c r="F256" i="10"/>
  <c r="E256" i="10"/>
  <c r="F255" i="10"/>
  <c r="E255" i="10"/>
  <c r="F254" i="10"/>
  <c r="E254" i="10"/>
  <c r="F253" i="10"/>
  <c r="E253" i="10"/>
  <c r="F252" i="10"/>
  <c r="E252" i="10"/>
  <c r="F251" i="10"/>
  <c r="E251" i="10"/>
  <c r="F250" i="10"/>
  <c r="E250" i="10"/>
  <c r="F249" i="10"/>
  <c r="E249" i="10"/>
  <c r="F248" i="10"/>
  <c r="E248" i="10"/>
  <c r="F247" i="10"/>
  <c r="E247" i="10"/>
  <c r="F246" i="10"/>
  <c r="E246" i="10"/>
  <c r="F245" i="10"/>
  <c r="E245" i="10"/>
  <c r="F244" i="10"/>
  <c r="E244" i="10"/>
  <c r="F243" i="10"/>
  <c r="E243" i="10"/>
  <c r="F242" i="10"/>
  <c r="E242" i="10"/>
  <c r="F241" i="10"/>
  <c r="E241" i="10"/>
  <c r="F240" i="10"/>
  <c r="E240" i="10"/>
  <c r="F239" i="10"/>
  <c r="E239" i="10"/>
  <c r="F238" i="10"/>
  <c r="E238" i="10"/>
  <c r="F237" i="10"/>
  <c r="E237" i="10"/>
  <c r="F236" i="10"/>
  <c r="E236" i="10"/>
  <c r="F235" i="10"/>
  <c r="E235" i="10"/>
  <c r="F234" i="10"/>
  <c r="E234" i="10"/>
  <c r="F233" i="10"/>
  <c r="E233" i="10"/>
  <c r="F232" i="10"/>
  <c r="E232" i="10"/>
  <c r="F231" i="10"/>
  <c r="E231" i="10"/>
  <c r="F230" i="10"/>
  <c r="E230" i="10"/>
  <c r="F229" i="10"/>
  <c r="E229" i="10"/>
  <c r="F228" i="10"/>
  <c r="E228" i="10"/>
  <c r="F227" i="10"/>
  <c r="E227" i="10"/>
  <c r="F226" i="10"/>
  <c r="E226" i="10"/>
  <c r="F225" i="10"/>
  <c r="E225" i="10"/>
  <c r="F224" i="10"/>
  <c r="E224" i="10"/>
  <c r="F223" i="10"/>
  <c r="E223" i="10"/>
  <c r="F222" i="10"/>
  <c r="E222" i="10"/>
  <c r="F221" i="10"/>
  <c r="E221" i="10"/>
  <c r="F220" i="10"/>
  <c r="E220" i="10"/>
  <c r="F219" i="10"/>
  <c r="E219" i="10"/>
  <c r="F218" i="10"/>
  <c r="E218" i="10"/>
  <c r="F217" i="10"/>
  <c r="E217" i="10"/>
  <c r="F216" i="10"/>
  <c r="E216" i="10"/>
  <c r="F215" i="10"/>
  <c r="E215" i="10"/>
  <c r="F214" i="10"/>
  <c r="E214" i="10"/>
  <c r="F213" i="10"/>
  <c r="E213" i="10"/>
  <c r="F212" i="10"/>
  <c r="E212" i="10"/>
  <c r="F211" i="10"/>
  <c r="E211" i="10"/>
  <c r="F210" i="10"/>
  <c r="E210" i="10"/>
  <c r="F209" i="10"/>
  <c r="E209" i="10"/>
  <c r="F208" i="10"/>
  <c r="E208" i="10"/>
  <c r="F207" i="10"/>
  <c r="E207" i="10"/>
  <c r="F206" i="10"/>
  <c r="E206" i="10"/>
  <c r="F205" i="10"/>
  <c r="E205" i="10"/>
  <c r="F204" i="10"/>
  <c r="E204" i="10"/>
  <c r="F203" i="10"/>
  <c r="E203" i="10"/>
  <c r="F202" i="10"/>
  <c r="E202" i="10"/>
  <c r="F201" i="10"/>
  <c r="E201" i="10"/>
  <c r="F200" i="10"/>
  <c r="E200" i="10"/>
  <c r="F199" i="10"/>
  <c r="E199" i="10"/>
  <c r="F198" i="10"/>
  <c r="E198" i="10"/>
  <c r="F197" i="10"/>
  <c r="E197" i="10"/>
  <c r="F196" i="10"/>
  <c r="E196" i="10"/>
  <c r="F195" i="10"/>
  <c r="E195" i="10"/>
  <c r="F194" i="10"/>
  <c r="E194" i="10"/>
  <c r="F193" i="10"/>
  <c r="E193" i="10"/>
  <c r="F192" i="10"/>
  <c r="E192" i="10"/>
  <c r="F191" i="10"/>
  <c r="E191" i="10"/>
  <c r="F190" i="10"/>
  <c r="E190" i="10"/>
  <c r="F189" i="10"/>
  <c r="E189" i="10"/>
  <c r="F188" i="10"/>
  <c r="E188" i="10"/>
  <c r="F187" i="10"/>
  <c r="E187" i="10"/>
  <c r="F186" i="10"/>
  <c r="E186" i="10"/>
  <c r="F185" i="10"/>
  <c r="E185" i="10"/>
  <c r="F184" i="10"/>
  <c r="E184" i="10"/>
  <c r="F183" i="10"/>
  <c r="E183" i="10"/>
  <c r="F182" i="10"/>
  <c r="E182" i="10"/>
  <c r="F181" i="10"/>
  <c r="E181" i="10"/>
  <c r="F180" i="10"/>
  <c r="E180" i="10"/>
  <c r="F179" i="10"/>
  <c r="E179" i="10"/>
  <c r="F178" i="10"/>
  <c r="E178" i="10"/>
  <c r="F177" i="10"/>
  <c r="E177" i="10"/>
  <c r="F176" i="10"/>
  <c r="E176" i="10"/>
  <c r="F175" i="10"/>
  <c r="E175" i="10"/>
  <c r="F174" i="10"/>
  <c r="E174" i="10"/>
  <c r="F173" i="10"/>
  <c r="E173" i="10"/>
  <c r="F172" i="10"/>
  <c r="E172" i="10"/>
  <c r="F171" i="10"/>
  <c r="E171" i="10"/>
  <c r="F170" i="10"/>
  <c r="E170" i="10"/>
  <c r="F169" i="10"/>
  <c r="E169" i="10"/>
  <c r="F168" i="10"/>
  <c r="E168" i="10"/>
  <c r="F167" i="10"/>
  <c r="E167" i="10"/>
  <c r="F166" i="10"/>
  <c r="E166" i="10"/>
  <c r="F165" i="10"/>
  <c r="E165" i="10"/>
  <c r="F164" i="10"/>
  <c r="E164" i="10"/>
  <c r="F163" i="10"/>
  <c r="E163" i="10"/>
  <c r="F162" i="10"/>
  <c r="E162" i="10"/>
  <c r="F161" i="10"/>
  <c r="E161" i="10"/>
  <c r="F160" i="10"/>
  <c r="E160" i="10"/>
  <c r="F159" i="10"/>
  <c r="E159" i="10"/>
  <c r="F158" i="10"/>
  <c r="E158" i="10"/>
  <c r="F157" i="10"/>
  <c r="E157" i="10"/>
  <c r="F156" i="10"/>
  <c r="E156" i="10"/>
  <c r="F155" i="10"/>
  <c r="E155" i="10"/>
  <c r="F154" i="10"/>
  <c r="E154" i="10"/>
  <c r="F153" i="10"/>
  <c r="E153" i="10"/>
  <c r="F152" i="10"/>
  <c r="E152" i="10"/>
  <c r="F151" i="10"/>
  <c r="E151" i="10"/>
  <c r="F150" i="10"/>
  <c r="E150" i="10"/>
  <c r="F149" i="10"/>
  <c r="E149" i="10"/>
  <c r="F148" i="10"/>
  <c r="E148" i="10"/>
  <c r="F147" i="10"/>
  <c r="E147" i="10"/>
  <c r="F146" i="10"/>
  <c r="E146" i="10"/>
  <c r="F145" i="10"/>
  <c r="E145" i="10"/>
  <c r="F144" i="10"/>
  <c r="E144" i="10"/>
  <c r="F143" i="10"/>
  <c r="E143" i="10"/>
  <c r="F142" i="10"/>
  <c r="E142" i="10"/>
  <c r="F141" i="10"/>
  <c r="E141" i="10"/>
  <c r="F140" i="10"/>
  <c r="E140" i="10"/>
  <c r="F139" i="10"/>
  <c r="E139" i="10"/>
  <c r="F138" i="10"/>
  <c r="E138" i="10"/>
  <c r="F137" i="10"/>
  <c r="E137" i="10"/>
  <c r="F136" i="10"/>
  <c r="E136" i="10"/>
  <c r="F135" i="10"/>
  <c r="E135" i="10"/>
  <c r="F134" i="10"/>
  <c r="E134" i="10"/>
  <c r="F133" i="10"/>
  <c r="E133" i="10"/>
  <c r="F132" i="10"/>
  <c r="E132" i="10"/>
  <c r="F131" i="10"/>
  <c r="E131" i="10"/>
  <c r="F130" i="10"/>
  <c r="E130" i="10"/>
  <c r="F129" i="10"/>
  <c r="E129" i="10"/>
  <c r="F128" i="10"/>
  <c r="E128" i="10"/>
  <c r="F127" i="10"/>
  <c r="E127" i="10"/>
  <c r="F126" i="10"/>
  <c r="E126" i="10"/>
  <c r="F125" i="10"/>
  <c r="E125" i="10"/>
  <c r="F124" i="10"/>
  <c r="E124" i="10"/>
  <c r="F123" i="10"/>
  <c r="E123" i="10"/>
  <c r="F122" i="10"/>
  <c r="E122" i="10"/>
  <c r="F121" i="10"/>
  <c r="E121" i="10"/>
  <c r="F120" i="10"/>
  <c r="E120" i="10"/>
  <c r="F119" i="10"/>
  <c r="E119" i="10"/>
  <c r="F118" i="10"/>
  <c r="E118" i="10"/>
  <c r="F117" i="10"/>
  <c r="E117" i="10"/>
  <c r="F116" i="10"/>
  <c r="E116" i="10"/>
  <c r="F115" i="10"/>
  <c r="E115" i="10"/>
  <c r="F114" i="10"/>
  <c r="E114" i="10"/>
  <c r="F113" i="10"/>
  <c r="E113" i="10"/>
  <c r="F112" i="10"/>
  <c r="E112" i="10"/>
  <c r="F111" i="10"/>
  <c r="E111" i="10"/>
  <c r="F110" i="10"/>
  <c r="E110" i="10"/>
  <c r="F109" i="10"/>
  <c r="E109" i="10"/>
  <c r="F108" i="10"/>
  <c r="E108" i="10"/>
  <c r="F107" i="10"/>
  <c r="E107" i="10"/>
  <c r="F106" i="10"/>
  <c r="E106" i="10"/>
  <c r="F105" i="10"/>
  <c r="E105" i="10"/>
  <c r="F104" i="10"/>
  <c r="E104" i="10"/>
  <c r="F103" i="10"/>
  <c r="E103" i="10"/>
  <c r="F102" i="10"/>
  <c r="E102" i="10"/>
  <c r="F101" i="10"/>
  <c r="E101" i="10"/>
  <c r="F100" i="10"/>
  <c r="E100" i="10"/>
  <c r="F99" i="10"/>
  <c r="E99" i="10"/>
  <c r="F98" i="10"/>
  <c r="E98" i="10"/>
  <c r="F97" i="10"/>
  <c r="E97" i="10"/>
  <c r="F96" i="10"/>
  <c r="E96" i="10"/>
  <c r="F95" i="10"/>
  <c r="E95" i="10"/>
  <c r="F94" i="10"/>
  <c r="E94" i="10"/>
  <c r="F93" i="10"/>
  <c r="E93" i="10"/>
  <c r="F92" i="10"/>
  <c r="E92" i="10"/>
  <c r="F91" i="10"/>
  <c r="E91" i="10"/>
  <c r="F90" i="10"/>
  <c r="E90" i="10"/>
  <c r="F89" i="10"/>
  <c r="E89" i="10"/>
  <c r="F88" i="10"/>
  <c r="E88" i="10"/>
  <c r="F87" i="10"/>
  <c r="E87" i="10"/>
  <c r="F86" i="10"/>
  <c r="E86" i="10"/>
  <c r="F85" i="10"/>
  <c r="E85" i="10"/>
  <c r="F84" i="10"/>
  <c r="E84" i="10"/>
  <c r="F83" i="10"/>
  <c r="E83" i="10"/>
  <c r="F82" i="10"/>
  <c r="E82" i="10"/>
  <c r="F81" i="10"/>
  <c r="E81" i="10"/>
  <c r="F80" i="10"/>
  <c r="E80" i="10"/>
  <c r="F79" i="10"/>
  <c r="E79" i="10"/>
  <c r="F78" i="10"/>
  <c r="E78" i="10"/>
  <c r="F77" i="10"/>
  <c r="E77" i="10"/>
  <c r="F76" i="10"/>
  <c r="E76" i="10"/>
  <c r="F75" i="10"/>
  <c r="E75" i="10"/>
  <c r="F74" i="10"/>
  <c r="E74" i="10"/>
  <c r="F73" i="10"/>
  <c r="E73" i="10"/>
  <c r="F72" i="10"/>
  <c r="E72" i="10"/>
  <c r="F71" i="10"/>
  <c r="E71" i="10"/>
  <c r="F70" i="10"/>
  <c r="E70" i="10"/>
  <c r="F69" i="10"/>
  <c r="E69" i="10"/>
  <c r="F68" i="10"/>
  <c r="E68" i="10"/>
  <c r="F67" i="10"/>
  <c r="E67" i="10"/>
  <c r="F66" i="10"/>
  <c r="E66" i="10"/>
  <c r="F65" i="10"/>
  <c r="E65" i="10"/>
  <c r="F64" i="10"/>
  <c r="E64" i="10"/>
  <c r="F63" i="10"/>
  <c r="E63" i="10"/>
  <c r="F62" i="10"/>
  <c r="E62" i="10"/>
  <c r="F61" i="10"/>
  <c r="E61" i="10"/>
  <c r="F60" i="10"/>
  <c r="E60" i="10"/>
  <c r="F59" i="10"/>
  <c r="E59" i="10"/>
  <c r="F58" i="10"/>
  <c r="E58" i="10"/>
  <c r="F57" i="10"/>
  <c r="E57" i="10"/>
  <c r="F56" i="10"/>
  <c r="E56" i="10"/>
  <c r="F55" i="10"/>
  <c r="E55" i="10"/>
  <c r="F54" i="10"/>
  <c r="E54" i="10"/>
  <c r="F53" i="10"/>
  <c r="E53" i="10"/>
  <c r="F52" i="10"/>
  <c r="E52" i="10"/>
  <c r="F51" i="10"/>
  <c r="E51" i="10"/>
  <c r="F50" i="10"/>
  <c r="E50" i="10"/>
  <c r="F49" i="10"/>
  <c r="E49" i="10"/>
  <c r="F48" i="10"/>
  <c r="E48" i="10"/>
  <c r="F47" i="10"/>
  <c r="E47" i="10"/>
  <c r="F46" i="10"/>
  <c r="E46" i="10"/>
  <c r="F45" i="10"/>
  <c r="E45" i="10"/>
  <c r="F44" i="10"/>
  <c r="E44" i="10"/>
  <c r="F43" i="10"/>
  <c r="E43" i="10"/>
  <c r="F42" i="10"/>
  <c r="E42" i="10"/>
  <c r="F41" i="10"/>
  <c r="E41" i="10"/>
  <c r="F40" i="10"/>
  <c r="E40" i="10"/>
  <c r="F39" i="10"/>
  <c r="E39" i="10"/>
  <c r="F38" i="10"/>
  <c r="E38" i="10"/>
  <c r="F37" i="10"/>
  <c r="E37" i="10"/>
  <c r="F36" i="10"/>
  <c r="E36" i="10"/>
  <c r="F35" i="10"/>
  <c r="E35" i="10"/>
  <c r="F34" i="10"/>
  <c r="E34" i="10"/>
  <c r="F33" i="10"/>
  <c r="E33" i="10"/>
  <c r="F32" i="10"/>
  <c r="E32" i="10"/>
  <c r="F31" i="10"/>
  <c r="E31" i="10"/>
  <c r="F30" i="10"/>
  <c r="E30" i="10"/>
  <c r="F29" i="10"/>
  <c r="E29" i="10"/>
  <c r="F28" i="10"/>
  <c r="E28" i="10"/>
  <c r="F27" i="10"/>
  <c r="E27" i="10"/>
  <c r="F26" i="10"/>
  <c r="E26" i="10"/>
  <c r="F25" i="10"/>
  <c r="E25" i="10"/>
  <c r="F24" i="10"/>
  <c r="E24" i="10"/>
  <c r="F23" i="10"/>
  <c r="E23" i="10"/>
  <c r="F22" i="10"/>
  <c r="E22" i="10"/>
  <c r="F21" i="10"/>
  <c r="E21" i="10"/>
  <c r="F20" i="10"/>
  <c r="E20" i="10"/>
  <c r="F19" i="10"/>
  <c r="E19" i="10"/>
  <c r="F18" i="10"/>
  <c r="E18" i="10"/>
  <c r="F17" i="10"/>
  <c r="E17" i="10"/>
  <c r="F16" i="10"/>
  <c r="E16" i="10"/>
  <c r="F15" i="10"/>
  <c r="E15" i="10"/>
  <c r="F14" i="10"/>
  <c r="E14" i="10"/>
  <c r="F13" i="10"/>
  <c r="E13" i="10"/>
  <c r="F12" i="10"/>
  <c r="E12" i="10"/>
  <c r="F11" i="10"/>
  <c r="E11" i="10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F3" i="10"/>
  <c r="E3" i="10"/>
  <c r="F2" i="10"/>
  <c r="E2" i="10"/>
  <c r="K45" i="4" l="1"/>
  <c r="K44" i="4"/>
  <c r="K43" i="4"/>
  <c r="K42" i="4"/>
  <c r="K41" i="4"/>
  <c r="K40" i="4"/>
  <c r="K39" i="4"/>
  <c r="K38" i="4"/>
  <c r="K37" i="4"/>
  <c r="K36" i="4"/>
  <c r="K35" i="4"/>
  <c r="K34" i="4"/>
  <c r="K30" i="4"/>
  <c r="K29" i="4"/>
  <c r="K28" i="4"/>
  <c r="K27" i="4"/>
  <c r="K26" i="4"/>
  <c r="K25" i="4"/>
  <c r="K23" i="4"/>
  <c r="K22" i="4"/>
  <c r="K21" i="4"/>
  <c r="K20" i="4"/>
  <c r="K19" i="4"/>
  <c r="K17" i="4"/>
  <c r="K16" i="4"/>
  <c r="K13" i="4"/>
  <c r="K12" i="4"/>
  <c r="AA21" i="4" l="1"/>
  <c r="O15" i="4" s="1"/>
  <c r="K57" i="4"/>
  <c r="K54" i="4"/>
  <c r="K51" i="4"/>
  <c r="K49" i="4"/>
  <c r="K55" i="4"/>
  <c r="K56" i="4"/>
  <c r="K48" i="4"/>
  <c r="K50" i="4"/>
  <c r="K53" i="4"/>
  <c r="K52" i="4"/>
  <c r="T4" i="4"/>
  <c r="AA10" i="4" l="1"/>
  <c r="O17" i="4" s="1"/>
  <c r="AA14" i="4"/>
  <c r="O28" i="4" s="1"/>
  <c r="AA19" i="4"/>
  <c r="O23" i="4" s="1"/>
  <c r="AA13" i="4"/>
  <c r="O19" i="4" s="1"/>
  <c r="AA18" i="4"/>
  <c r="O27" i="4" s="1"/>
  <c r="AA9" i="4"/>
  <c r="O30" i="4" s="1"/>
  <c r="AA17" i="4"/>
  <c r="O14" i="4" s="1"/>
  <c r="AA12" i="4"/>
  <c r="O29" i="4" s="1"/>
  <c r="AA15" i="4"/>
  <c r="O22" i="4" s="1"/>
  <c r="AA8" i="4"/>
  <c r="O13" i="4" s="1"/>
  <c r="AA16" i="4"/>
  <c r="O18" i="4" s="1"/>
  <c r="AA20" i="4"/>
  <c r="O25" i="4" s="1"/>
  <c r="AA11" i="4"/>
  <c r="O24" i="4" s="1"/>
  <c r="AA7" i="4"/>
  <c r="O20" i="4" s="1"/>
  <c r="T6" i="4"/>
  <c r="I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Задания (2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  <connection id="2" xr16:uid="{00000000-0015-0000-FFFF-FFFF01000000}" keepAlive="1" name="Запрос — Задания (2)(1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  <connection id="3" xr16:uid="{00000000-0015-0000-FFFF-FFFF02000000}" keepAlive="1" name="Запрос — Задания (2)(2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</connections>
</file>

<file path=xl/sharedStrings.xml><?xml version="1.0" encoding="utf-8"?>
<sst xmlns="http://schemas.openxmlformats.org/spreadsheetml/2006/main" count="4018" uniqueCount="950">
  <si>
    <t>Самоутверждение</t>
  </si>
  <si>
    <t xml:space="preserve">Бегство от стрессовой ситуации </t>
  </si>
  <si>
    <t xml:space="preserve">Антиципирующее избегание </t>
  </si>
  <si>
    <t>Замещение</t>
  </si>
  <si>
    <t>Поиск социальной поддержки</t>
  </si>
  <si>
    <t xml:space="preserve">Жалость к себе </t>
  </si>
  <si>
    <t>Социальная замкнутость</t>
  </si>
  <si>
    <t xml:space="preserve">Самообвинение </t>
  </si>
  <si>
    <t>Самооправдание</t>
  </si>
  <si>
    <t>Агрессия</t>
  </si>
  <si>
    <t>Шкала лжи</t>
  </si>
  <si>
    <t>КОПИНГИ</t>
  </si>
  <si>
    <t xml:space="preserve">  Напряжение.  2. Неудовлетворенность собой </t>
  </si>
  <si>
    <t xml:space="preserve">  Напряжение.  3. "Загнанность в клетку" </t>
  </si>
  <si>
    <t>ЦЕННОСТИ</t>
  </si>
  <si>
    <t xml:space="preserve">Причастность </t>
  </si>
  <si>
    <t>Жажда впечатлений</t>
  </si>
  <si>
    <t xml:space="preserve">Эстетичность </t>
  </si>
  <si>
    <t>Гедонизм</t>
  </si>
  <si>
    <t>Признание</t>
  </si>
  <si>
    <t xml:space="preserve">Достижения </t>
  </si>
  <si>
    <t>Коммерческий подход</t>
  </si>
  <si>
    <t xml:space="preserve">Безопасность </t>
  </si>
  <si>
    <t>Интеллект</t>
  </si>
  <si>
    <t>КЕТТЕЛЛ</t>
  </si>
  <si>
    <t xml:space="preserve">G Сознательность / Беспринципность </t>
  </si>
  <si>
    <t xml:space="preserve">H Смелость / Застенчивость </t>
  </si>
  <si>
    <t xml:space="preserve">А Открытость / Замкнутость </t>
  </si>
  <si>
    <t xml:space="preserve">E Независимость / Податливость </t>
  </si>
  <si>
    <t xml:space="preserve">F Сдержанность / Экспрессивность </t>
  </si>
  <si>
    <t xml:space="preserve">I Чувственность / Твёрдость </t>
  </si>
  <si>
    <t xml:space="preserve">L Подозрительность / Доверчивость </t>
  </si>
  <si>
    <t xml:space="preserve">M Мечтательность / Практичность </t>
  </si>
  <si>
    <t xml:space="preserve">N Прямолинейность / Дипломатичность </t>
  </si>
  <si>
    <t xml:space="preserve">Q1 Радикализм / Консерватизм </t>
  </si>
  <si>
    <t xml:space="preserve">Q3 Самоконтроль, сильная воля </t>
  </si>
  <si>
    <t xml:space="preserve">Q4+ Внутренняя напряжённость </t>
  </si>
  <si>
    <t xml:space="preserve">C Эмоциональная стабильность </t>
  </si>
  <si>
    <t xml:space="preserve">O Склонность к чувству вины </t>
  </si>
  <si>
    <t xml:space="preserve">Q2 Самостоятельность </t>
  </si>
  <si>
    <t xml:space="preserve">сырые баллы </t>
  </si>
  <si>
    <t>ПОЛ-ВОЗРАСТ</t>
  </si>
  <si>
    <t>СПИСОК ШКАЛ</t>
  </si>
  <si>
    <r>
      <t xml:space="preserve">ПОЛ-ВОЗРАСТ </t>
    </r>
    <r>
      <rPr>
        <b/>
        <sz val="7"/>
        <rFont val="Calibri"/>
        <family val="2"/>
        <charset val="204"/>
      </rPr>
      <t>(выбор из списка)</t>
    </r>
  </si>
  <si>
    <t xml:space="preserve">СЫРЫЕ БАЛЛЫ </t>
  </si>
  <si>
    <t>ВЫГОРАНИЕ БОЙКО</t>
  </si>
  <si>
    <t xml:space="preserve">Т баллы </t>
  </si>
  <si>
    <t>Результат</t>
  </si>
  <si>
    <t>ВАРИАНТЫ ДЛЯ ВЫПАДАЮЩЕГО СПИСКА</t>
  </si>
  <si>
    <t>ФОРМУЛА ПОДСЧЕТА ШКАЛЫ ЛЖИ</t>
  </si>
  <si>
    <t>Максимальный балл</t>
  </si>
  <si>
    <t>Сырые баллы</t>
  </si>
  <si>
    <t>ИМЯ УЧАСТНИКА</t>
  </si>
  <si>
    <t>ГОД РОЖДЕНИЯ</t>
  </si>
  <si>
    <t>Результат
Т БАЛЛЫ</t>
  </si>
  <si>
    <t>ПОДСЧЕТ РЕЗУЛЬТАТОВ ПО КЕТТЕЛЛ</t>
  </si>
  <si>
    <t xml:space="preserve">ТАБЛИЦА ФИНАЛЬНЫХ РЕЗУЛЬТАТОВ - БАЛЛОВ ЖЕНЩИНЫ  1994 – 2022    </t>
  </si>
  <si>
    <t xml:space="preserve">ТАБЛИЦА ФИНАЛЬНЫХ РЕЗУЛЬТАТОВ  МУЖЧИНЫ   1994 – 2022    </t>
  </si>
  <si>
    <t xml:space="preserve">ТАБЛИЦА ФИНАЛЬНЫХ РЕЗУЛЬТАТОВ  ЖЕНЩИНЫ   1950 – 1993    </t>
  </si>
  <si>
    <t xml:space="preserve">ТАБЛИЦА ФИНАЛЬНЫХ РЕЗУЛЬТАТОВ МУЖЧИНЫ  1950 – 1993    </t>
  </si>
  <si>
    <t>ПОЛ</t>
  </si>
  <si>
    <t>Ж 1994 - 2022</t>
  </si>
  <si>
    <t>Ж 1950 - 1993</t>
  </si>
  <si>
    <t>М 1994 - 2022</t>
  </si>
  <si>
    <t>М 1950 - 1993</t>
  </si>
  <si>
    <t>К</t>
  </si>
  <si>
    <t>Шкала C 
Эмоциональная стабильность</t>
  </si>
  <si>
    <t>Шкала O
Тревожность</t>
  </si>
  <si>
    <t>Шкала Q4
Внутренний комфорт</t>
  </si>
  <si>
    <t xml:space="preserve">Шкала F
Импульсивность </t>
  </si>
  <si>
    <t>Шкала N
Дипломатичность</t>
  </si>
  <si>
    <t>Шкала I 
Восприятие</t>
  </si>
  <si>
    <t>Шкала А
Открытость</t>
  </si>
  <si>
    <t>Шкала M
Восторженность</t>
  </si>
  <si>
    <t>Шкала Q2
Самостоятельность</t>
  </si>
  <si>
    <t>Шкала G Ответственность</t>
  </si>
  <si>
    <t>Шкала Q3
Самоконтроль</t>
  </si>
  <si>
    <t>Шкала Q1 
Критичность</t>
  </si>
  <si>
    <t>Шкала L
Осторожность</t>
  </si>
  <si>
    <t>Шкала H
Смелость</t>
  </si>
  <si>
    <t>Шкала E Независимость</t>
  </si>
  <si>
    <t xml:space="preserve">  Напряжение.  1.Переживание</t>
  </si>
  <si>
    <t xml:space="preserve">  Напряжение.  4. Тревога</t>
  </si>
  <si>
    <t xml:space="preserve">  Истощение.  1 Эмоциональная опустошенность</t>
  </si>
  <si>
    <t xml:space="preserve">  Истощение.  2. Эмоциональная отстраненность</t>
  </si>
  <si>
    <t xml:space="preserve">  Истощение.  3. Личностная отстраненность</t>
  </si>
  <si>
    <t xml:space="preserve">  Истощение.  4. Психосоматика</t>
  </si>
  <si>
    <t xml:space="preserve"> Сопротивление 1.Избирательное реагирование</t>
  </si>
  <si>
    <t xml:space="preserve"> Сопротивление  2. Эмоциональная защита</t>
  </si>
  <si>
    <t xml:space="preserve"> Сопротивление  3. Экономия эмоций</t>
  </si>
  <si>
    <t>Интерпретация результатов для секции 1. "Черты характера"</t>
  </si>
  <si>
    <t>Шкала А Открытость</t>
  </si>
  <si>
    <t>Замкнутость, отчужденность. Скептицизм, критичность. склонность к точности и твердости. Избегание компромиссов.</t>
  </si>
  <si>
    <t>Замкнутость, скептицизм, критичность. Склонность к точности и твердости. Избегание компромиссов.</t>
  </si>
  <si>
    <t>Обособленность от других. В коммуникации может проявляться «холодность» и дистанция.</t>
  </si>
  <si>
    <t>Общительность в меру, сдержанность. Способность работать в одиночку и готовность к сотрудничеству.</t>
  </si>
  <si>
    <t>Способность выстраивать коммуникацию с другими, эмоциональное участие / теплота в общении.</t>
  </si>
  <si>
    <t>Готовность выстраивать контакт, сотрудничать и действовать в команде. Внимательность к людям, теплота, легкость, открытость в общении.</t>
  </si>
  <si>
    <t>Способность выстраивать контакт, сотрудничать и действовать в команде. Внимательность к людям, теплота, легкость, открытость в общении.</t>
  </si>
  <si>
    <t>Шкала C Эмоциональная стабильность</t>
  </si>
  <si>
    <t>Эмоциональная устойчивость; способность владеть своими чувствами, работоспособность.</t>
  </si>
  <si>
    <t>Эмоциональная устойчивость, зрелость, стабильность поведения; высокий порог чувствительности, невозмутимость; управление своими чувствами.</t>
  </si>
  <si>
    <t>Эмоциональная зрелость, стабильность поведения; способность владеть своими чувствами, высокая работоспособность.</t>
  </si>
  <si>
    <t>Склонность уступать другим, ситуативная способность отстаивать свою позицию. Почтительность к авторитетам.</t>
  </si>
  <si>
    <t>Ситуативная способность отстаивать свою позицию и независимости суждений. Почтительность к авторитетам.</t>
  </si>
  <si>
    <t>Доминантность, независимость суждений, упрямство.</t>
  </si>
  <si>
    <t>Шкала F Импульсивность</t>
  </si>
  <si>
    <t>Неторопливость, сдержанность, склонность к осмотрительности, точности и пессимистичности оценок. Трезвость суждений.</t>
  </si>
  <si>
    <t>Серьезность, склонность к осмотрительности, точности оценок. Трезвость суждений.</t>
  </si>
  <si>
    <t>Благоразумие, рассудительность, реалистичность, ожидание неудач, аккуратность.</t>
  </si>
  <si>
    <t>Подвижность, энергичность, вера в удачу; значимость социальных контактов.</t>
  </si>
  <si>
    <t>Шкала H Смелость</t>
  </si>
  <si>
    <t>Шкала I Восприятие</t>
  </si>
  <si>
    <t>Низкая чувствительность, суровость / цинизм, черствость в отношениях. Реалистичность суждений.</t>
  </si>
  <si>
    <t>Практичность, низкая чувствительность, суровость, черствость в отношениях; ориентация на логику и факты.</t>
  </si>
  <si>
    <t>Практичность, рассудительность; способность считывать настрой и состояние собеседника.</t>
  </si>
  <si>
    <t xml:space="preserve">Шкала L Осторожность
</t>
  </si>
  <si>
    <t>Шкала M Восторженность</t>
  </si>
  <si>
    <t>Идеалистичность, развитое воображение, творческий потенциал. Ситуативная принципиальность.</t>
  </si>
  <si>
    <t>Шкала N Дипломатичность</t>
  </si>
  <si>
    <t>Проницательность, утонченность, способность оказывать влияние и эмоционально воздействовать на собеседника.</t>
  </si>
  <si>
    <t>Шкала O Тревожность</t>
  </si>
  <si>
    <t>Безмятежность, самоуверенность, самонадеянность, спокойствие.</t>
  </si>
  <si>
    <t>Безмятежность, самоуверенность, самонадеянность, спокойствие, не боязливость.</t>
  </si>
  <si>
    <t>Спокойствие, уверенность в себе, чуткость к своему состоянию.</t>
  </si>
  <si>
    <t>Обеспокоенность, неуверенность в себе, ситуативное ощущение вины.</t>
  </si>
  <si>
    <t>Тревожность / страх, суетливость, неуверенность в себе, чувство вины, чувствительность к реакциям окружающих.</t>
  </si>
  <si>
    <t>Шкала Q1 Критичность</t>
  </si>
  <si>
    <t>Устоявшиеся взгляды на жизнь, низкая критичность к новой информации.</t>
  </si>
  <si>
    <t>Шкала Q2 Самостоятельность</t>
  </si>
  <si>
    <t>Самостоятельность, совместное принятие решение с группой, находчивость.</t>
  </si>
  <si>
    <t>Шкала Q3 Самоконтроль</t>
  </si>
  <si>
    <t>Шкала Q4 Внутренний комфорт</t>
  </si>
  <si>
    <t>Удовлетворенность собой и ситуацией, невозмутимость, энергичность.</t>
  </si>
  <si>
    <t>Внутреннее напряжение и собранность, мотивация на достижение, энергичность.</t>
  </si>
  <si>
    <t>Внутреннее напряжение и собранность, мотивация на достижение, энергичность, возбудимость.</t>
  </si>
  <si>
    <t>Интерпретация результатов для секции 2. "Работа в неопределенности"</t>
  </si>
  <si>
    <t>Контроль над ситуацией</t>
  </si>
  <si>
    <t>Стратегия не характерна. Ограниченный поиск вариантов и реализация решений для преодоления проблемы.</t>
  </si>
  <si>
    <t>Локальное продумывание ситуации, анализ альтернатив. Контроль за решением проблемы.</t>
  </si>
  <si>
    <t>Самообладание</t>
  </si>
  <si>
    <t>Стратегия не характерна. Ограниченное регулирование своих эмоций и состояния.</t>
  </si>
  <si>
    <t>Стратегия ярко проявляется: сдерживание и контроль чувств, сохранение хладнокровия, чрезмерная требовательность к себе.</t>
  </si>
  <si>
    <t>Позитивная самомотивация</t>
  </si>
  <si>
    <t>Стратегия не характерна. Редкое подбадривание себя.</t>
  </si>
  <si>
    <t>Стратегия проявляется ситуативно: подбадривание себя; поиск преимуществ в сложившейся ситуации.</t>
  </si>
  <si>
    <t>Стратегия ярко проявляется: подбадривание себя; выработка нового взгляда на ситуацию; поиск преимуществ.</t>
  </si>
  <si>
    <t>Снижение значения стрес­совой ситуации</t>
  </si>
  <si>
    <t>Стратегия проявляется ситуативно: снижение значения или тяжести напряжения (рационализация, юмор, обесценивание, снижение уровня притязаний).</t>
  </si>
  <si>
    <t>Стратегия ярко проявляется: снижение значения или тяжести напряжения (рационализация, юмор, обесценивание, снижение уровня притязаний).</t>
  </si>
  <si>
    <t>Стратегия ярко проявляется: стабилизация своего статуса, поиск признания у других, самоутверждение в иной области.</t>
  </si>
  <si>
    <t>Отвлечение</t>
  </si>
  <si>
    <t>Стратегия не характерна: локальные попытки забыть о
трудностях.</t>
  </si>
  <si>
    <t>Стратегия ярко проявляется: погружение в другие интересы / дела (в том числе внерабочие), отвлечение от стрессовой ситуаций.</t>
  </si>
  <si>
    <t>Бегство от стрессовой ситуации</t>
  </si>
  <si>
    <t>Стратегия не характерна: локальное сопротивление от преодоления ситуации.</t>
  </si>
  <si>
    <t>Стратегия ярко проявляется: отказ от преодоления ситуации; отрицание/игнорирование проблемы, уклонение от ответственности, нетерпение.</t>
  </si>
  <si>
    <t>Антиципирующее избегание</t>
  </si>
  <si>
    <t>Стратегия не характерна: редкая потребность "перестраховаться" и избегать аналогичных ситуации.</t>
  </si>
  <si>
    <t>Стратегия не характерна: стремление к комфортной среде; поиск приятных ощущений (еда, развлечения, покупки, путешествия).</t>
  </si>
  <si>
    <t>Стратегия ярко проявляется: создание комфортной среды для себя и команды; поиск приятных ощущений (еда, развлечения, покупки, путешествия).</t>
  </si>
  <si>
    <t>Стратегия не характерна: локальное обращение к помощи окружающих.</t>
  </si>
  <si>
    <t>Стратегия ярко проявляется: желание "опереться" или получить защиту от других, быть выслушанным, разделить с кем-либо переживания.</t>
  </si>
  <si>
    <t>Жалость к себе</t>
  </si>
  <si>
    <t>Стратегия ярко проявляется: пребывание в жалости к себе, зависти к другим; недооценивание собственных сил и возможностей.</t>
  </si>
  <si>
    <t>Стратегия не характерна: редкий поиск тишины и желание остаться наедине с собой.</t>
  </si>
  <si>
    <t>Стратегия ярко проявляется: погружение в себя, отказ от коммуникации с другими, избегание информационных потоков.</t>
  </si>
  <si>
    <t>Самообвинение</t>
  </si>
  <si>
    <t>Стратегия не характерна: локальное признание своей роли в возникновении ситуации.</t>
  </si>
  <si>
    <t>Стратегия проявляется ситуативно: обвинение себя в произошедшем, поиск причин в себе; переживание стыда и вины.</t>
  </si>
  <si>
    <t>Стратегия ярко проявляется: обвинение себя в произошедшем, поиск причин в себе; переживание стыда и вины.</t>
  </si>
  <si>
    <t>"Заезженная пластинка"</t>
  </si>
  <si>
    <t>Стратегия не характерна: редкое мысленное прокручивание аспектов стрессовой ситуации.</t>
  </si>
  <si>
    <t>Стратегия ярко проявляется: постоянное мысленное прокручивание аспектов стрессовой ситуации; рассуждения часто носят пессимистический характер.</t>
  </si>
  <si>
    <t>Стратегия не характерна: локальное раздражение/злость на себя и ситуацию.</t>
  </si>
  <si>
    <t>Стратегия ярко проявляется: ощущение раздражения, злость на себя и ситуацию; потребность жестоко шутить /отстаивать свое мнение / проявлять эмоции.</t>
  </si>
  <si>
    <t>Интерпретация результатов для секции 3. "Выгорание"</t>
  </si>
  <si>
    <t>1. Переживание</t>
  </si>
  <si>
    <t>2. Неудовлетворенность собой</t>
  </si>
  <si>
    <t>3. "Загнанность в клетку"</t>
  </si>
  <si>
    <t>4. Тревога</t>
  </si>
  <si>
    <t>1. Избирательное эмоциональное реагирование</t>
  </si>
  <si>
    <t>2. Эмоциональная защита</t>
  </si>
  <si>
    <t>3. Экономия эмоций</t>
  </si>
  <si>
    <t>4. Эмпатическая усталость</t>
  </si>
  <si>
    <t>1. Эмоциональная опустошенность</t>
  </si>
  <si>
    <t>2. Эмоциональная отстраненность</t>
  </si>
  <si>
    <t>3. Личностная отстраненность</t>
  </si>
  <si>
    <t>4. Психосоматика</t>
  </si>
  <si>
    <t>Интерпретация результатов для секции 4. "Ценности"</t>
  </si>
  <si>
    <t>Причастность</t>
  </si>
  <si>
    <t>Традиционализм</t>
  </si>
  <si>
    <t>Эстетичность</t>
  </si>
  <si>
    <t>Достижения</t>
  </si>
  <si>
    <t>Безопасность</t>
  </si>
  <si>
    <t>СЕКЦИЯ</t>
  </si>
  <si>
    <t>ШКАЛА ОЦЕНКИ</t>
  </si>
  <si>
    <t>БАЛЛ</t>
  </si>
  <si>
    <t xml:space="preserve">КОММЕНТАРИЙ ДЛЯ ОТЧЕТА </t>
  </si>
  <si>
    <t>Значимая потребность в уважении и следовании нормам, принятым в культуре / социальной группе.</t>
  </si>
  <si>
    <t>Значимая потребность в наслаждении или чувственном удовольствии, ощущении полноты жизни.</t>
  </si>
  <si>
    <t>Значимая потребность в достижении социального статуса или престижа, контроля или доминирования над ресурсами и людьми.</t>
  </si>
  <si>
    <t>Напористость, властность, доминантность, самоуверенность. Принятие на себя лидерской роли.</t>
  </si>
  <si>
    <t>Локальный контроль собственных реакций, сохранение самообладания, чрезмерная требовательность к себе.</t>
  </si>
  <si>
    <t>Локальный контроль собственных реакций, сохранение самообладания.</t>
  </si>
  <si>
    <t>Локальный контроль собственных реакций, желание скрыть от других свои чувства, сохранение самообладания.</t>
  </si>
  <si>
    <t>Стратегия ярко проявляется: подбадривание себя; поиск преимуществ в сложившейся ситуации.</t>
  </si>
  <si>
    <t>Стратегия не характерна: редки попытки снизить значение или тяжесть ситуации (рационализация, юмор, обесценивание, снижение уровня притязаний).</t>
  </si>
  <si>
    <t>Редкие попытки снизить значение или тяжесть ситуации (рационализация, юмор, обесценивание, снижение уровня притязаний).</t>
  </si>
  <si>
    <t>Попытки снизить значение или тяжесть ситуации (рационализация, юмор, обесценивание, снижение уровня притязаний).</t>
  </si>
  <si>
    <t>Периодическое желание стабилизировать себя, поиск признания у других, самоутверждение в иной области.</t>
  </si>
  <si>
    <t>Периодическое желание перевести внимание в другие интересы (в том числе внерабочие), попытки забыть о трудностях.</t>
  </si>
  <si>
    <t>Локальный отказ от преодоления ситуации; отрицание/игнорирование проблемы, уклонение от ответственности, нетерпение.</t>
  </si>
  <si>
    <t>Периодическое желание "перестраховаться" и избегать аналогичных ситуации / переживаний в будущем.</t>
  </si>
  <si>
    <t>Стратегия ярко проявляется: потребность "перестраховаться" и избежать неприятных ситуации; отказ от возможностей, связанных с высоким риском.</t>
  </si>
  <si>
    <t>Периодическое желание создать комфортную среды для себя и команды; поиск приятных ощущений (еда, развлечения, покупки, путешествия).</t>
  </si>
  <si>
    <t>Периодический поиск сотрудничества со значимыми людьми для преодоления трудностей, желание разделить с кем-либо переживания.</t>
  </si>
  <si>
    <t>Стратегия не характерна: редкое желание пожалеть себя.</t>
  </si>
  <si>
    <t>Периодическое желание пожалеть себя, ощущение зависти к другим; недооценивание собственных сил и возможностей.</t>
  </si>
  <si>
    <t>Стратегия проявляется в отдельных случаях: изоляция от ситуации, потребность остаться наедине с собой.</t>
  </si>
  <si>
    <t>Периодическое желание мысленно прокручивать в голове аспекты ситуации; рассуждения часто носят пессимистический характер.</t>
  </si>
  <si>
    <t>Стратегия ярко проявляется: снятие с себя или разделение с другими ответственности за ситуацию.</t>
  </si>
  <si>
    <t>Периодическое ощущение раздражения, злость на себя и ситуацию.</t>
  </si>
  <si>
    <t>Стратегия проявляется локально: ощущение раздражения, злость на себя и ситуацию; потребность жестоко шутить /отстаивать свое мнение / проявлять эмоции.</t>
  </si>
  <si>
    <t>Стратегия проявляется локально:  ощущение раздражения, злость на себя и ситуацию; потребность жестоко шутить /отстаивать свое мнение / проявлять эмоции.</t>
  </si>
  <si>
    <t>Высокая интенсивность. Недовольство собой и ситуацией, потребность изменить условия работы, ощущение сопротивления принятому формату работы.</t>
  </si>
  <si>
    <t>Слабая интенсивность. Локальное ощущение бессилия, тупика, пустоты внутри.</t>
  </si>
  <si>
    <t>Средняя интенсивность. Ощущение невозможности изменить ситуацию, бессилия, пустоты внутри; снижение энергии.</t>
  </si>
  <si>
    <t>Слабая интенсивность. Эмоциональное напряжение,  тревога, желание "затормозиться".</t>
  </si>
  <si>
    <t>Высокая интенсивность. Зависимость коммуникации от настроения («хочу или не хочу»), черствость, равнодушие в ответ на рабочие ситуации.</t>
  </si>
  <si>
    <t>Высокая интенсивность. Защита от эмоций даже вне работы (близкие, семья), потребность в изоляции от других людей.</t>
  </si>
  <si>
    <t>Высокая интенсивность. Попытки облегчить или сократить обязанности, требующие эмоциональных затрат.</t>
  </si>
  <si>
    <t>Слабая интенсивность. Редкое желание уйти от сопереживания другим.</t>
  </si>
  <si>
    <t>Средняя интенсивность. Избегание эмоционального ответа на важные ситуации.</t>
  </si>
  <si>
    <t>Высокая интенсивность. Избегание эмоционального ответа на важные ситуации.</t>
  </si>
  <si>
    <t>Высокая интенсивность. Частое сокращение эмоционального отклика на ситуации и людей.</t>
  </si>
  <si>
    <t>Высокая интенсивность. Обесценивание рабочих задач,  раздражение ("не выношу", "не хочу").</t>
  </si>
  <si>
    <t>Слабая интенсивность. Периодическое плохое самочувствие.</t>
  </si>
  <si>
    <t>Средняя интенсивность. Переход эмоций в телесные  состояния, плохое самочувствие, отсутствие сил.</t>
  </si>
  <si>
    <t>Высокая интенсивность. Плохое самочувствие (головная боль, скачки давления), отсутствие сил.</t>
  </si>
  <si>
    <t>Незначимая потребность в следовании нормам, принятым в культуре / социальной группе.</t>
  </si>
  <si>
    <t xml:space="preserve">Прямота, естественность, простота. </t>
  </si>
  <si>
    <t>Позитивная мотивация</t>
  </si>
  <si>
    <t>«Заезженная пластинка»</t>
  </si>
  <si>
    <t xml:space="preserve">Поиск социальной поддержки </t>
  </si>
  <si>
    <t>Снижение значения стрессовой ситуации</t>
  </si>
  <si>
    <t>ТАБЛИЦА ФИНАЛЬНЫХ РЕЗУЛЬТАТОВ  ПО ВСЕМ ВОЗРАСТАМ И ГЕНДЕРАМ</t>
  </si>
  <si>
    <t>Максимальный балл сырой</t>
  </si>
  <si>
    <t xml:space="preserve"> Сопротивление  4. Эмпатическая усталость</t>
  </si>
  <si>
    <t>Стратегия не характерна: избирательный поиск признания себя другими, самоутверждение в иной области.</t>
  </si>
  <si>
    <t>Локальное желание разделить с другими ответственность,  снять с себя ответственность за ситуацию.</t>
  </si>
  <si>
    <t>Локальное желание разделить с другими ответственность, снять с себя ответственность за ситуацию.</t>
  </si>
  <si>
    <t>Периодическое ощущение раздражения, злость на себя и ситуацию, желание прибегнуть с сарказму / шуткам или проявлению эмоции.</t>
  </si>
  <si>
    <t>Слабая интенсивность. Локальное недовольство собой и ситуацией.</t>
  </si>
  <si>
    <t>Средняя интенсивность. Недовольство собой и ситуацией, сопротивление принятому формату работы.</t>
  </si>
  <si>
    <t>Высокая интенсивность. Недовольство собой и ситуацией, желание изменить условия работы, ощущение сопротивления принятому формату работы.</t>
  </si>
  <si>
    <t>Слабая интенсивность. Локальное ощущение бессилия, пустоты внутри.</t>
  </si>
  <si>
    <t>Слабая интенсивность. Локальное желание изолироваться от других. Ощущение усталости.</t>
  </si>
  <si>
    <t>Средняя интенсивность. Периодическая потребность в изоляции от других людей.</t>
  </si>
  <si>
    <t>Слабая интенсивность. Редкое желание сократить обязанности, требующие  эмоционального вовлечения.</t>
  </si>
  <si>
    <t>Средняя интенсивность. Локальные попытки сократить обязанности, требующие эмоционального вовлечения.</t>
  </si>
  <si>
    <t>Средняя интенсивность. Попытки сократить обязанности, требующие эмоционального вовлечения.</t>
  </si>
  <si>
    <t>Слабая интенсивность. Ситуативная неготовность активно общаться с другими.</t>
  </si>
  <si>
    <t>Средняя интенсивность. Сокращение эмоционального отклика на ситуации и людей.</t>
  </si>
  <si>
    <t>Слабая интенсивность. Ситуативное снижение мотивации и обесценивание рабочих задач.</t>
  </si>
  <si>
    <t>Средняя интенсивность. Снижение мотивации / обесценивание рабочих задач.</t>
  </si>
  <si>
    <t>Высокая интенсивность. Обесценивание рабочих задач, агрессия ("ненавижу", "не выношу", "не хочу").</t>
  </si>
  <si>
    <t>Незначимая потребность в разнообразии, переживаниях; непроявленное желание погружаться 
в приключения, получать новый опыт.</t>
  </si>
  <si>
    <t>Значимая потребность в разнообразии и глубоких переживаниях; желание погружаться 
в приключения, получать новый опыт.</t>
  </si>
  <si>
    <t>Незначимая потребность в наслаждении или чувственном удовольствии.</t>
  </si>
  <si>
    <t>Незначимая потребность в достижении социального статуса или престижа, контроля и доминирования над ресурсами и людьми.</t>
  </si>
  <si>
    <t>Незначимая потребность в достижении личного успеха через соревновательность и преодоление сложностей / «вызовов».</t>
  </si>
  <si>
    <t>Значимая потребность в достижении личного успеха через соревновательность и преодоление сложностей/«вызовов», стремление быть лучшим.</t>
  </si>
  <si>
    <t>Выраженная предприимчивость, интерес к развитию бизнеса; готовность увеличивать свой доход.</t>
  </si>
  <si>
    <t>Выраженная предприимчивость, интерес к развитию бизнеса / новых продуктов/ привлечению новых клиентов; готовность увеличивать свой доход и идти на денежные риски.</t>
  </si>
  <si>
    <t>Непроявленная потребность в предсказуемости, структуре и порядку.</t>
  </si>
  <si>
    <t>Значимая потребность в предсказуемости, структуре и порядку; проявленная потребность ощущать стабильность и безопасность среды.</t>
  </si>
  <si>
    <t>Значимый интерес к наращиванию экспертизы и глубине погружения в материал, созданию сложных  интеллектуальных решений.</t>
  </si>
  <si>
    <t>Стратегия не характерна: локальное желание разделить с другими ответственность.</t>
  </si>
  <si>
    <t>Секция</t>
  </si>
  <si>
    <t>Категория</t>
  </si>
  <si>
    <t>Баллы</t>
  </si>
  <si>
    <t/>
  </si>
  <si>
    <t>Вопрос</t>
  </si>
  <si>
    <t>Ответ</t>
  </si>
  <si>
    <t>Я отношу себя к числу энергичных людей, которые всегда чем-то заняты:</t>
  </si>
  <si>
    <t>Оказавшись рядом с хищниками (например, львами, тиграми, медведями), я ощущаю себя некомфортно, даже если они сидят в клетках.</t>
  </si>
  <si>
    <t>Я жестко высказываюсь в диалоге с человеком, если он этого заслуживает.</t>
  </si>
  <si>
    <t>Я удерживаю себя от критики людей и их взглядов.</t>
  </si>
  <si>
    <t>Валидность опросника</t>
  </si>
  <si>
    <t>В детстве я сразу и без пререканий делал все, что от меня требовалось.</t>
  </si>
  <si>
    <t>нет</t>
  </si>
  <si>
    <t>Я выберу легкую классическую музыку в сравнении с современной популярной музыкой.</t>
  </si>
  <si>
    <t>не уверен</t>
  </si>
  <si>
    <t>Если я увижу драку на детской площадке, я:</t>
  </si>
  <si>
    <t>Я предпочту быть:</t>
  </si>
  <si>
    <t>Местами чувство зависти давит меня и сказывается на моих действиях.</t>
  </si>
  <si>
    <t>да, согласен</t>
  </si>
  <si>
    <t>Я почти всегда могу заметить ложь человека по его выражению лица.</t>
  </si>
  <si>
    <t>Я считаю, что следует доделывать неинтересные рабочие задачи, даже если, по моему мнению, в этом уже нет нужды.</t>
  </si>
  <si>
    <t>Шкала N  Дипломатичность</t>
  </si>
  <si>
    <t>Я выберу работу:</t>
  </si>
  <si>
    <t>Я озвучиваю свои чувства:</t>
  </si>
  <si>
    <t>Иногда неожиданно я ощущаю страх или беспричинное беспокойство:</t>
  </si>
  <si>
    <t>Шкала О Тревожность</t>
  </si>
  <si>
    <t>Если меня осуждают за то, в чем я не виноват, я:</t>
  </si>
  <si>
    <t>Шкала Q1  Критичность</t>
  </si>
  <si>
    <t>Меня восхищает:</t>
  </si>
  <si>
    <t>Я принимаю решения:</t>
  </si>
  <si>
    <t>Люди будут чувствовать себя счастливее, если будут больше общаться со своими друзьями.</t>
  </si>
  <si>
    <t>Когда я планирую свое будущее, я зачастую полагаюсь на удачу:</t>
  </si>
  <si>
    <t>Шкала Q4 Внутренний дискомфорт</t>
  </si>
  <si>
    <t>В ситуации, когда я сильно разозлен, я могу успокоиться в короткий срок:</t>
  </si>
  <si>
    <t>Иногда я откладываю на завтра то, что необходимо сделать сегодня.</t>
  </si>
  <si>
    <t>да</t>
  </si>
  <si>
    <t>В ситуации одинаковых условий работы и оплаты труда, я выберу работу:</t>
  </si>
  <si>
    <t>На общественные должности (староста, капитан команды, дежурный) меня выбирали:</t>
  </si>
  <si>
    <t>Бывает, что идеи в голове не дают мне заснуть:</t>
  </si>
  <si>
    <t>В основном я добиваюсь выполнения тех целей, которые задаю себе:</t>
  </si>
  <si>
    <t>Устаревшая норма права должна быть пересмотрена:</t>
  </si>
  <si>
    <t>Я чувствую себя некомфортно, когда необходимо предпринимать быстрые решения, которые связаны с другими людьми:</t>
  </si>
  <si>
    <t>Окружающие считают меня жизнерадостным человеком:</t>
  </si>
  <si>
    <t>Если я сталкиваюсь с неаккуратными, небрежными людьми:</t>
  </si>
  <si>
    <t>Если на меня неожиданно обратят внимание, я слегка опешу.</t>
  </si>
  <si>
    <t>В детстве я выбирал:</t>
  </si>
  <si>
    <t>Шкала L Осторожность</t>
  </si>
  <si>
    <t>Отвечая за определенное дело, я стремлюсь, чтобы мои указания исполнялись в точности, иначе отступаю от участия в деле:</t>
  </si>
  <si>
    <t>В ходе рабочей встречи, я выберу:</t>
  </si>
  <si>
    <t>Иногда я ощущаю желание сделать что-то, для чего необходима физическая нагрузка.</t>
  </si>
  <si>
    <t>да, это верно</t>
  </si>
  <si>
    <t>Мне комфортнее говорить с человеком тактичным и обходительным, по сравнению с прямыми и конкретными.</t>
  </si>
  <si>
    <t>Когда меня критиковали или негативно оценивали, меня это тяготило.</t>
  </si>
  <si>
    <t>Я бы хотел создать теорию строения Вселенной.</t>
  </si>
  <si>
    <t>В новом проекте я предпочту:</t>
  </si>
  <si>
    <t>Дома я стараюсь держать все четко на своих местах; я всегда знаю, где находится нужный предмет.</t>
  </si>
  <si>
    <t>Размышляя о том, как проходил день, я довольно часто ощущаю волнение и сомнение.</t>
  </si>
  <si>
    <t>Изредка я беспокоюсь, правда ли мой собеседник вникает в то, что я говорю.</t>
  </si>
  <si>
    <t>Если меня поставят перед выбором, то мне будет ближе работа:</t>
  </si>
  <si>
    <t>Мое окружение:</t>
  </si>
  <si>
    <t>Некоторые мои черты проявлены значительно сильнее, чем у других людей.</t>
  </si>
  <si>
    <t>Когда что-то выбило меня из колеи, я стремлюсь не показывать это своему окружению:</t>
  </si>
  <si>
    <t>Если я что-либо обещал, я всегда сдержу слово, несмотря ни на что.</t>
  </si>
  <si>
    <t>Я считаю, что чувствовать себя свободным намного ценнее, чем быть вежливым и учтивым.</t>
  </si>
  <si>
    <t>Находясь рядом со статусными людьми, я стараюсь вести себя сдержанно и аккуратно:</t>
  </si>
  <si>
    <t>Я испытываю дискомфорт, выходя с речью перед командой или перед залом.</t>
  </si>
  <si>
    <t>Я легко нахожу путь в новом для себя районе, быстро определяю стороны света и нужное направление.</t>
  </si>
  <si>
    <t>Когда мои коллеги или окружение недовольны мной и негодуют, я:</t>
  </si>
  <si>
    <t>После просмотра предвзятого поста в соц.сети / ролика на Youtube я с большей вероятностью пройду мимо и быстро забуду ситуацию, чем напишу гневный комментарий.</t>
  </si>
  <si>
    <t>В основном я не запоминаю мелкие детали: названия ресторанов, брендов, продуктов и т.д.</t>
  </si>
  <si>
    <t>Когда я наслаждаюсь вкусным ужином, то не всегда думаю о том, насколько аккуратно и утонченно я это делаю.</t>
  </si>
  <si>
    <t>Бывают ситуации, когда у меня есть потребность ни с кем не общаться.</t>
  </si>
  <si>
    <t>Мое беспокойство легко считать по моему виду, жестам, мимике.</t>
  </si>
  <si>
    <t>Мне комфортно оперировать цифрами и математическими функциями.</t>
  </si>
  <si>
    <t>Я выберу сидеть в отдельном кабинете, чем располагаться в open space (едином рабочем пространстве).</t>
  </si>
  <si>
    <t>Я выберу тихую и спокойную жизнь в свое удовольствие, чем буду принимать восторженные оценки других за свои достижения.</t>
  </si>
  <si>
    <t>В основном я веду себя как взрослый опытный человек.</t>
  </si>
  <si>
    <t>Негативная обратная связь, так как ее привыкли давать другие, разрушает меня:</t>
  </si>
  <si>
    <t>Я способен постоянно отслеживать, как мое состояние проявляется для моего окружения.</t>
  </si>
  <si>
    <t>Думаю, что отдельные коллеги обходят вниманием или игнорируют меня, правда я не могу объяснить причину этого.</t>
  </si>
  <si>
    <t>Окружение принимает меня хуже, чем я этого достоин, с учетом моего хорошего расположения к ним.</t>
  </si>
  <si>
    <t>Мне неприятно слышать или произносить нелитературные и неприличные слова.</t>
  </si>
  <si>
    <t>нет, не согласен</t>
  </si>
  <si>
    <t>Кажется, у людей обычно больше друзей, чем у меня.</t>
  </si>
  <si>
    <t>Мне некомфортно посещать места, где нет возможности с кем-то побеседовать.</t>
  </si>
  <si>
    <t>Бывает, что меня воспринимают как несерьезного, но хорошего человека.</t>
  </si>
  <si>
    <t>Случалось, что перед рабочим днем я замечал внутри беспокойство или растерянность, какая бывает при выступлении на большую аудиторию.</t>
  </si>
  <si>
    <t>На общих встречах и совещаниях мне достаточно находиться в тени и давать коллегам высказывать свою позицию.</t>
  </si>
  <si>
    <t>Я выберу посмотреть:</t>
  </si>
  <si>
    <t>Если я слышу приказы и инструкции от других, я намеренно действую от обратного:</t>
  </si>
  <si>
    <t>Мое окружение критикует меня в основном по существу.</t>
  </si>
  <si>
    <t>В отпуске я выберу:</t>
  </si>
  <si>
    <t>Иногда я сержусь.</t>
  </si>
  <si>
    <t>Не вижу в черном юморе ничего плохого или неприличного.</t>
  </si>
  <si>
    <t>Я ощущаю смятение, если мне оказывают знаки внимания:</t>
  </si>
  <si>
    <t>Я с удовольствием вовлекаюсь в социальную жизнь, деятельность социальных проектов и т.д.</t>
  </si>
  <si>
    <t>В ходе реализации задачи для меня важно проверить самые мельчайшие подробности.</t>
  </si>
  <si>
    <t>Бывает, что даже самые небольшие сложности нервируют меня.</t>
  </si>
  <si>
    <t>У меня хороший сон, я никогда не бормочу/кричу во сне:</t>
  </si>
  <si>
    <t>Мне ближе:</t>
  </si>
  <si>
    <t>Когда люди ведут себя неблагоразумно и безрассудно,...</t>
  </si>
  <si>
    <t>Когда я допускаю ошибку или недочет, мне легко отмести это и пойти дальше.</t>
  </si>
  <si>
    <t>Я бы описал себя как:</t>
  </si>
  <si>
    <t>Мне комфортнее быть мнительным и ориентироваться на средний результат, про себя надеясь на отличный исход.</t>
  </si>
  <si>
    <t>Когда я размышляю о потенциальных рисках, которые могут реализоваться, я...</t>
  </si>
  <si>
    <t>Я быстро привыкаю к новому коллективу или условиям.</t>
  </si>
  <si>
    <t>Меня часто просят помочь деликатно разрешить конфликт или договориться с коллегами о принятии нужного решения.</t>
  </si>
  <si>
    <t>Я полностью свободен от предрассудков.</t>
  </si>
  <si>
    <t>Несмотря на возможные неблагоприятные последствия, я прямо скажу о непорядочности и тщеславии коллеги, если я убежден в своем мнении.</t>
  </si>
  <si>
    <t>Бывает, что я могу уколоть человека, чтобы смутить его и посмотреть как он отреагирует.</t>
  </si>
  <si>
    <t>Я бы мог успешно справляться с ролью блогера: обозревать мероприятия, музыкальные шоу и спортивные соревнования.</t>
  </si>
  <si>
    <t>Во время длинных рабочих встреч я не чувствую желания залезть в соц. сети, почитать новости, поменять позу, выпить кофе.</t>
  </si>
  <si>
    <t>Коллега озвучивает суждение, которое, как я знаю, является неправдой, и тогда я думаю, что:</t>
  </si>
  <si>
    <t>Мне кажется, что меня настигнет неприятность, даже если я не делал ничего плохого.</t>
  </si>
  <si>
    <t>Теория, что заболевания предопределены в равной степени психическими и физическими причинами, слишком раздута.</t>
  </si>
  <si>
    <t>Меня задевает, что некоторые коллеги иногда негативно высказываются про мой подход к работе.</t>
  </si>
  <si>
    <t>Прорабатывая новый проект, я выберу:</t>
  </si>
  <si>
    <t>Иногда мне сложно удержаться от сочувствия самому себе и не погрузиться в печаль.</t>
  </si>
  <si>
    <t>Часто из-за коллег и близких я быстро раздражаюсь / теряю самообладание.</t>
  </si>
  <si>
    <t>С учетом аналогичного уровня оплаты, я выберу:</t>
  </si>
  <si>
    <t>После длительной подготовки и ожидания я подчас не ощущаю себя готовым насладиться событием.</t>
  </si>
  <si>
    <t>Я могу спокойно делать работу, читать документы и отвечать на письма, когда рядом коллеги шумно обсуждают проект.</t>
  </si>
  <si>
    <t>Периодически я рассказываю коллегам и знакомым важную, по моему мнению, информацию, вне зависимости от того, просили они об этом или нет.</t>
  </si>
  <si>
    <t>Мы часто собираемся с друзьями и ностальгируем по хорошим моментам, которые с нами случались раньше.</t>
  </si>
  <si>
    <t>Мне нравится соглашаться на авантюры только ради развлечения.</t>
  </si>
  <si>
    <t>Меня чрезвычайно раздражает беспорядок в квартире.</t>
  </si>
  <si>
    <t>Мне кажется, что я достаточно коммуникабелен.</t>
  </si>
  <si>
    <t>В коммуникации с коллегами или близкими, я:</t>
  </si>
  <si>
    <t>Мне нравятся песни:</t>
  </si>
  <si>
    <t>Меня больше очарует выразительность поэмы, чем изящество шпаги.</t>
  </si>
  <si>
    <t>Мне было бы интересно курировать группу взрослых, проходящих переквалификацию с одной профессии на другую:</t>
  </si>
  <si>
    <t>Важнее:</t>
  </si>
  <si>
    <t>Про меня обоснованно говорят, что я трудоголик, хотя признание приходит не очень часто:</t>
  </si>
  <si>
    <t>Мне кажется, что мое окружение злоупотребляет моим радушием и добротой.</t>
  </si>
  <si>
    <t>Когда члены команды спорят о проекте:</t>
  </si>
  <si>
    <t>Я продумываю свои цели и задачи самостоятельно, без обсуждений с другими и дополнительных советов.</t>
  </si>
  <si>
    <t>Я испытываю беспокойство, когда размышляю о будущем:</t>
  </si>
  <si>
    <t>Мне бы понравилось быть:</t>
  </si>
  <si>
    <t>Иногда мне снятся яркие сны, так что я могу проснуться.</t>
  </si>
  <si>
    <t>Даже если в ходе реализации новой идеи возникает много сложностей, я все же готов двигаться дальше.</t>
  </si>
  <si>
    <t>Мне нравится оказываться в роли лидера, я точно знаю, как должна выполняться работа в команде.</t>
  </si>
  <si>
    <t>да, нравится</t>
  </si>
  <si>
    <t>Я выберу спокойную обычную одежду как у всех, а не яркие модные наряды.</t>
  </si>
  <si>
    <t>Я с удовольствием займусь интересным проектом вместо посещения праздника или вечеринки.</t>
  </si>
  <si>
    <t>Иногда я отметаю полезные рекомендации моих коллег и друзей, хотя понимаю, что не надо этого делать.</t>
  </si>
  <si>
    <t>иногда</t>
  </si>
  <si>
    <t>Выбирая верное решение, я обязательно ориентируюсь на общечеловеческие и моральные ценности.</t>
  </si>
  <si>
    <t>Мне неприятно, когда коллеги или руководитель наблюдают за моей работой.</t>
  </si>
  <si>
    <t>Я становлюсь жестким в общении, когда не удается добиться результата обычным способом.</t>
  </si>
  <si>
    <t>В старших классах я любил:</t>
  </si>
  <si>
    <t>Некоторые ситуации так злят меня, что я просто не хочу их обсуждать.</t>
  </si>
  <si>
    <t>Задача родителей состоит в:</t>
  </si>
  <si>
    <t>Коллеги причисляют меня к когорте сдержанных, спокойных людей, сохраняющих хладнокровие в самых сложных ситуациях.</t>
  </si>
  <si>
    <t>Если бы мне предложили реализовать проект в компании, я бы выбрал:</t>
  </si>
  <si>
    <t>Даже в отлаженном деле мне все время хочется что-то улучшить.</t>
  </si>
  <si>
    <t>Я лучше усваиваю материал:</t>
  </si>
  <si>
    <t>Я всегда делаю работу своим способом, а не следую общепринятым подходам.</t>
  </si>
  <si>
    <t>Я не тороплюсь озвучивать свои суждения, пока не удостоверюсь, что совершенно прав.</t>
  </si>
  <si>
    <t>Иногда мелочи нестерпимо действуют на нервы, хотя я и понимаю, что это пустяки:</t>
  </si>
  <si>
    <t>Я нечасто говорю под влиянием момента такое, о чем мне позже приходится пожалеть:</t>
  </si>
  <si>
    <t>Если я совершил какой-то промах в работе, я довольно быстро забываю об этом:</t>
  </si>
  <si>
    <t>Про меня говорят, что я фонтанирую идеями и нахожу выходы из сложных ситуаций:</t>
  </si>
  <si>
    <t>Меня считают очень увлеченным человеком.</t>
  </si>
  <si>
    <t>Мне по душе занятия, связанные с постоянными изменениями и командировками, несмотря на то, что они могут быть рискованными.</t>
  </si>
  <si>
    <t>Я достаточно четкий человек и требую, чтобы все задачи делались тщательно.</t>
  </si>
  <si>
    <t>Когда я смотрю новостной ролик на Youtube, а рядом кричат дети:</t>
  </si>
  <si>
    <t>При знакомстве с новым рабочим инструментом/методом, я...</t>
  </si>
  <si>
    <t>Я легко нахожу закономерности между понятиями и явлениями.</t>
  </si>
  <si>
    <t>Когда собеседник или ситуация выбивает меня из колеи или наносит мне ощутимый вред, я…
 отвлекаюсь на просмотр соцсетей, передач, музыку.</t>
  </si>
  <si>
    <t>никогда</t>
  </si>
  <si>
    <t>Когда собеседник или ситуация выбивает меня из колеи или наносит мне ощутимый вред, я…
 говорю себе, что у меня все получится.</t>
  </si>
  <si>
    <t>часто</t>
  </si>
  <si>
    <t>Когда собеседник или ситуация выбивает меня из колеи или наносит мне ощутимый вред, я…
 думаю, у меня нет оснований себя корить.</t>
  </si>
  <si>
    <t>редко</t>
  </si>
  <si>
    <t>Когда собеседник или ситуация выбивает меня из колеи или наносит мне ощутимый вред, я…
 отказываюсь от привычных занятий (развлечения, поездки и путешествия, отдых, хобби, спорт и т.д.).</t>
  </si>
  <si>
    <t>Когда собеседник или ситуация выбивает меня из колеи или наносит мне ощутимый вред, я…
 стараюсь в будущем обходить такие ситуации загодя.</t>
  </si>
  <si>
    <t>Когда собеседник или ситуация выбивает меня из колеи или наносит мне ощутимый вред, я…
 все время думаю о том, где я ошибся.</t>
  </si>
  <si>
    <t>Когда собеседник или ситуация выбивает меня из колеи или наносит мне ощутимый вред, я…
 думаю, что ничего ужасного не произошло.</t>
  </si>
  <si>
    <t>Когда собеседник или ситуация выбивает меня из колеи или наносит мне ощутимый вред, я…
 берусь делать хотя бы что-то, даже если еще не найдено верное решение.</t>
  </si>
  <si>
    <t>Когда собеседник или ситуация выбивает меня из колеи или наносит мне ощутимый вред, я…
 чувствую жалость к себе, испытываю чувство обиды.</t>
  </si>
  <si>
    <t>Когда собеседник или ситуация выбивает меня из колеи или наносит мне ощутимый вред, я…
 отказываюсь верить, что это случилось.</t>
  </si>
  <si>
    <t>Когда собеседник или ситуация выбивает меня из колеи или наносит мне ощутимый вред, я…
 представляю себе / фантазирую как все это могло бы быть иначе.</t>
  </si>
  <si>
    <t>Когда собеседник или ситуация выбивает меня из колеи или наносит мне ощутимый вред, я…
 досконально изучаю все подробности ситуации.</t>
  </si>
  <si>
    <t>Когда собеседник или ситуация выбивает меня из колеи или наносит мне ощутимый вред, я…
 предоставляю возможность другим принимать решения.</t>
  </si>
  <si>
    <t>Когда собеседник или ситуация выбивает меня из колеи или наносит мне ощутимый вред, я…
 хочу съесть что-то вкусное.</t>
  </si>
  <si>
    <t>Когда собеседник или ситуация выбивает меня из колеи или наносит мне ощутимый вред, я… 
 еще долго думаю о произошедшем.</t>
  </si>
  <si>
    <t>Когда собеседник или ситуация выбивает меня из колеи или наносит мне ощутимый вред, я…
 стыжусь, что со мной это произошло.</t>
  </si>
  <si>
    <t>Когда собеседник или ситуация выбивает меня из колеи или наносит мне ощутимый вред, я…
 пытаюсь собраться с силами.</t>
  </si>
  <si>
    <t>Когда собеседник или ситуация выбивает меня из колеи или наносит мне ощутимый вред, я…
 уклоняюсь от разговоров с другими.</t>
  </si>
  <si>
    <t>Когда собеседник или ситуация выбивает меня из колеи или наносит мне ощутимый вред, я…
 при первых намеках на такую же ситуацию, пытаюсь избегать ее повторения.</t>
  </si>
  <si>
    <t>Когда собеседник или ситуация выбивает меня из колеи или наносит мне ощутимый вред, я…
 думаю, что это была только случайность.</t>
  </si>
  <si>
    <t>Когда собеседник или ситуация выбивает меня из колеи или наносит мне ощутимый вред, я…
 уверен, что со временем все неприятности забудутся.</t>
  </si>
  <si>
    <t>Когда собеседник или ситуация выбивает меня из колеи или наносит мне ощутимый вред, я…
 считаю, что другие справились бы с подобной ситуацией хуже.</t>
  </si>
  <si>
    <t>Когда собеседник или ситуация выбивает меня из колеи или наносит мне ощутимый вред, я…
 больше обычного обсуждаю с другими свою ситуацию.</t>
  </si>
  <si>
    <t>Когда собеседник или ситуация выбивает меня из колеи или наносит мне ощутимый вред, я…
 говорю себе, что я многого добился и мне есть чем гордиться.</t>
  </si>
  <si>
    <t>Когда собеседник или ситуация выбивает меня из колеи или наносит мне ощутимый вред, я…
 чувствую недовольство собой в этот момент.</t>
  </si>
  <si>
    <t>Когда собеседник или ситуация выбивает меня из колеи или наносит мне ощутимый вред, я…
 смотрю что-нибудь приятное по ТВ/Youtube или зависаю в соц.сетях.</t>
  </si>
  <si>
    <t>Когда собеседник или ситуация выбивает меня из колеи или наносит мне ощутимый вред, я…
 подбадриваю себя.</t>
  </si>
  <si>
    <t>Традиции</t>
  </si>
  <si>
    <t>Большинство моих друзей надежны и предсказуемы.</t>
  </si>
  <si>
    <t>Когда собеседник или ситуация выбивает меня из колеи или наносит мне ощутимый вред, я…
 очень хочу сбежать и не видеть происходящего.</t>
  </si>
  <si>
    <t>Когда собеседник или ситуация выбивает меня из колеи или наносит мне ощутимый вред, я…
 в красках рассказываю про ситуацию друзьям и семье.</t>
  </si>
  <si>
    <t>Когда собеседник или ситуация выбивает меня из колеи или наносит мне ощутимый вред, я…
 испытываю желание что-то сломать, бросить, ударить что-то.</t>
  </si>
  <si>
    <t>Когда собеседник или ситуация выбивает меня из колеи или наносит мне ощутимый вред, я… 
 иду налить чай/кофе, пообедать.</t>
  </si>
  <si>
    <t>Когда собеседник или ситуация выбивает меня из колеи или наносит мне ощутимый вред, я…
 постараюсь добиться хороших результатов в другой области.</t>
  </si>
  <si>
    <t>Когда собеседник или ситуация выбивает меня из колеи или наносит мне ощутимый вред, я…
 стараюсь заранее прогнозировать последствия своих действий.</t>
  </si>
  <si>
    <t>Когда собеседник или ситуация выбивает меня из колеи или наносит мне ощутимый вред, я…
 ухожу туда, где буду один.</t>
  </si>
  <si>
    <t>Когда собеседник или ситуация выбивает меня из колеи или наносит мне ощутимый вред, я…
 убеждаю себя, что время сглаживает все острые углы.</t>
  </si>
  <si>
    <t>Когда собеседник или ситуация выбивает меня из колеи или наносит мне ощутимый вред, я…
 предпринимаю попытки преодолеть свое возбужденное состояние.</t>
  </si>
  <si>
    <t>Когда собеседник или ситуация выбивает меня из колеи или наносит мне ощутимый вред, я…
 чувствую, что хожу по кругу, на ум приходят одни и те же малоприятные мысли.</t>
  </si>
  <si>
    <t>Когда собеседник или ситуация выбивает меня из колеи или наносит мне ощутимый вред, я…
 стараюсь максимально собраться и двигаться вперед, не отвлекаясь на эмоции.</t>
  </si>
  <si>
    <t>Когда собеседник или ситуация выбивает меня из колеи или наносит мне ощутимый вред, я…
 чувствую свою ответственность и упрекаю себя, что оказался в этой ситуации.</t>
  </si>
  <si>
    <t>Когда собеседник или ситуация выбивает меня из колеи или наносит мне ощутимый вред, я…
 сплю больше, чем обычно.</t>
  </si>
  <si>
    <t>Когда собеседник или ситуация выбивает меня из колеи или наносит мне ощутимый вред, я…
 раздражаюсь, могу быть излишне эмоциональным.</t>
  </si>
  <si>
    <t>Когда собеседник или ситуация выбивает меня из колеи или наносит мне ощутимый вред, я…
 стараюсь не обращать на это внимания.</t>
  </si>
  <si>
    <t>Когда собеседник или ситуация выбивает меня из колеи или наносит мне ощутимый вред, я…
 чувствую желание опереться на кого-то уверенного и способного решать проблемы.</t>
  </si>
  <si>
    <t>Когда собеседник или ситуация выбивает меня из колеи или наносит мне ощутимый вред, я…
 думаю, что я НЕ несу ответственность за то, что все сложилось именно так.</t>
  </si>
  <si>
    <t>Когда собеседник или ситуация выбивает меня из колеи или наносит мне ощутимый вред, я…
 готовлю план действий и следую ему.</t>
  </si>
  <si>
    <t>Когда собеседник или ситуация выбивает меня из колеи или наносит мне ощутимый вред, я…
 думаю, что другие люди не стали бы придавать подобным ситуациям такого большого значения.</t>
  </si>
  <si>
    <t>Когда собеседник или ситуация выбивает меня из колеи или наносит мне ощутимый вред, я…
 пытаюсь сохранять спокойствие.</t>
  </si>
  <si>
    <t>Когда собеседник или ситуация выбивает меня из колеи или наносит мне ощутимый вред, я…
 делаю все возможное, чтобы никогда больше с этим не столкнуться.</t>
  </si>
  <si>
    <t>Когда собеседник или ситуация выбивает меня из колеи или наносит мне ощутимый вред, я…
 пытаюсь не переживать и держаться бодро.</t>
  </si>
  <si>
    <t>Когда собеседник или ситуация выбивает меня из колеи или наносит мне ощутимый вред, я…
 пытаюсь забыть все это.</t>
  </si>
  <si>
    <t>Когда собеседник или ситуация выбивает меня из колеи или наносит мне ощутимый вред, я…
 ловлю себя на мысли, что мне очень хочется что-то купить.</t>
  </si>
  <si>
    <t>Когда собеседник или ситуация выбивает меня из колеи или наносит мне ощутимый вред, я…
 думаю, что я мог бы учесть возможные риски, но не сделал этого.</t>
  </si>
  <si>
    <t>Когда собеседник или ситуация выбивает меня из колеи или наносит мне ощутимый вред, я…
 хочу побыть в тишине.</t>
  </si>
  <si>
    <t>Когда собеседник или ситуация выбивает меня из колеи или наносит мне ощутимый вред, я…
 стараюсь контролировать свои порывы.</t>
  </si>
  <si>
    <t>Когда собеседник или ситуация выбивает меня из колеи или наносит мне ощутимый вред, я…
 думаю, что именно мне всегда не везет.</t>
  </si>
  <si>
    <t>Когда собеседник или ситуация выбивает меня из колеи или наносит мне ощутимый вред, я…
 стараюсь найти то, что меня порадует.</t>
  </si>
  <si>
    <t>Когда собеседник или ситуация выбивает меня из колеи или наносит мне ощутимый вред, я…
 использую сарказм, могу жестко/обидно пошутить.</t>
  </si>
  <si>
    <t>Когда собеседник или ситуация выбивает меня из колеи или наносит мне ощутимый вред, я…
 думаю, как сохранить лицо.</t>
  </si>
  <si>
    <t>Когда собеседник или ситуация выбивает меня из колеи или наносит мне ощутимый вред, я…
 должен услышать по этому поводу мнение экспертов и коллег, которым я доверяю.</t>
  </si>
  <si>
    <t>Когда собеседник или ситуация выбивает меня из колеи или наносит мне ощутимый вред, я…
 скрываю от окружающих, насколько плохо обстоят дела.</t>
  </si>
  <si>
    <t>Когда собеседник или ситуация выбивает меня из колеи или наносит мне ощутимый вред, я…
 извиняюсь или стараюсь как-то сгладить ситуацию.</t>
  </si>
  <si>
    <t>Когда собеседник или ситуация выбивает меня из колеи или наносит мне ощутимый вред, я…
 шучу над ситуаций.</t>
  </si>
  <si>
    <t>Когда собеседник или ситуация выбивает меня из колеи или наносит мне ощутимый вред, я…
 решаю, что вся эта ситуация не имеет никакого значения.</t>
  </si>
  <si>
    <t>Когда собеседник или ситуация выбивает меня из колеи или наносит мне ощутимый вред, я…
 активно прилагаю усилия к изменению ситуации.</t>
  </si>
  <si>
    <t>Когда ситуация выбивает меня из колеи или наносит мне ощутимый вред, я...
 предпочитаю решать проблему самостоятельно.</t>
  </si>
  <si>
    <t>Когда собеседник или ситуация выбивает меня из колеи или наносит мне ощутимый вред…
 чувствую недоумение или обиду, так как все должно было пойти иначе.</t>
  </si>
  <si>
    <t>Когда собеседник или ситуация выбивает меня из колеи или наносит мне ощутимый вред, я…
 читаю и слушаю все возможные источники, чтобы разобраться в ситуации.</t>
  </si>
  <si>
    <t>Когда собеседник или ситуация выбивает меня из колеи или наносит мне ощутимый вред, 
 ищу способы поднять свою мотивацию.</t>
  </si>
  <si>
    <t>Когда собеседник или ситуация выбивает меня из колеи или наносит мне ощутимый вред, я…
 впредь стараюсь предвосхитить результат того или иного решения.</t>
  </si>
  <si>
    <t>Когда собеседник или ситуация выбивает меня из колеи или наносит мне ощутимый вред, я…
 постоянно сваливаюсь в размышления о ситуации, сложно сконцентрироваться на чем-то другом.</t>
  </si>
  <si>
    <t>Когда собеседник или ситуация выбивает меня из колеи или наносит мне ощутимый вред, я…
 временно отстраняюсь от проблемы, пытаюсь отдохнуть или взять выходной.</t>
  </si>
  <si>
    <t>Когда собеседник или ситуация выбивает меня из колеи или наносит мне ощутимый вред, я…
 обращаюсь к человеку, который может оказать конкретную помощь в решении проблемы.</t>
  </si>
  <si>
    <t>Когда собеседник или ситуация выбивает меня из колеи или наносит мне ощутимый вред, я…
 решаю сделать то, что давно хотел сделать.</t>
  </si>
  <si>
    <t>Когда собеседник или ситуация выбивает меня из колеи или наносит мне ощутимый вред, я…
 думаю, что я не виноват.</t>
  </si>
  <si>
    <t>Когда собеседник или ситуация выбивает меня из колеи или наносит мне ощутимый вред, я…
 говорю себе, что я не обязан всегда выходить победителем.</t>
  </si>
  <si>
    <t>Когда собеседник или ситуация выбивает меня из колеи или наносит мне ощутимый вред, я…
 чаще обычного спорю с другими.</t>
  </si>
  <si>
    <t>Когда собеседник или ситуация выбивает меня из колеи или наносит мне ощутимый вред, я…
 пытаюсь не сжигать за собой мосты.</t>
  </si>
  <si>
    <t>Когда собеседник или ситуация выбивает меня из колеи или наносит мне ощутимый вред, я…
 каким-либо образом отвлекаю себя от произо­шедшего.</t>
  </si>
  <si>
    <t>Когда собеседник или ситуация выбивает меня из колеи или наносит мне ощутимый вред, я…
 могу повысить голос или нагрубить кому-то.</t>
  </si>
  <si>
    <t>Когда ситуация выбивает меня из колеи или наносит мне ощутимый вред...
 размышляю, какие у меня есть ресурсы для решения ситуации.</t>
  </si>
  <si>
    <t>Когда собеседник или ситуация выбивает меня из колеи или наносит мне ощутимый вред, я…
 раз за разом анализирую, какие причины привели к данной ситуации.</t>
  </si>
  <si>
    <t>Когда собеседник или ситуация выбивает меня из колеи или наносит мне ощутимый вред, я… 
 не понимаю, почему это произошло именно со мной</t>
  </si>
  <si>
    <t>Когда собеседник или ситуация выбивает меня из колеи или наносит мне ощутимый вред, я…
 думаю, что не могу предусмотреть все</t>
  </si>
  <si>
    <t>Когда собеседник или ситуация выбивает меня из колеи или наносит мне ощутимый вред, я…
 не принимаю проблему близко к сердцу.</t>
  </si>
  <si>
    <t>Я стремлюсь иметь влиятельных друзей.</t>
  </si>
  <si>
    <t>Хорошо проводить время очень важно для меня.</t>
  </si>
  <si>
    <t>Меня расстраивает, что со временем важные традиции забываются.</t>
  </si>
  <si>
    <t>Я просто не могу смотреть плохо сделанные материалы, например презентации с разными шрифтами, неровными строчками, кричащими цветами и т.д.</t>
  </si>
  <si>
    <t>Я всегда сразу отвечаю на письма личного характера.</t>
  </si>
  <si>
    <t>Наличие преград на пути к цели демотивирует меня.</t>
  </si>
  <si>
    <t>Я не слежу за модой.</t>
  </si>
  <si>
    <t>Мне не нравятся люди, которые не ценят удовольствия в жизни.</t>
  </si>
  <si>
    <t>Мне важно, когда другие отмечают мои достижения.</t>
  </si>
  <si>
    <t>Я полагаю, что лишняя осторожность никогда не помешает.</t>
  </si>
  <si>
    <t>Мне не нравится, когда кто-то нарушает сложившиеся традиции.</t>
  </si>
  <si>
    <t>Самая прекрасная сторона жизни заключена в красоте литературы и искусства.</t>
  </si>
  <si>
    <t>У меня бывают иногда мысли, о которых стыдно рассказывать другим.</t>
  </si>
  <si>
    <t>Мне не нравятся расслабленные люди, не стремящиеся вырасти.</t>
  </si>
  <si>
    <t>Я редко выкладываю что-то в соцсети.</t>
  </si>
  <si>
    <t>Я постоянно ищу возможности для повышения своего заработка (инициирую запуск новых проектов, беру на себя больше ответственности, ищу новых клиентов, новые ниши для развития бизнеса).</t>
  </si>
  <si>
    <t>Я с удовольствием слушаю лекции и подкасты на тему искусства, архитектуры и дизайна.</t>
  </si>
  <si>
    <t>Мне больше нравится работать со статистикой и таблицами, чем с людьми.</t>
  </si>
  <si>
    <t>Мне очень интересны люди, которые добились карьерных высот.</t>
  </si>
  <si>
    <t>Я стараюсь отдохнуть в отпуске по полной, не думать о работе.</t>
  </si>
  <si>
    <t>Я считаю, что важна активность в разных сферах жизни.</t>
  </si>
  <si>
    <t>Обычно даже вне работы я думаю о рабочих вопросах и нерешенных задачах.</t>
  </si>
  <si>
    <t>Мне больше нравится работать с людьми, которые предлагают новые идеи, чем с теми, кто придерживается отработанных схем.</t>
  </si>
  <si>
    <t>В сложной ситуации я готов пойти на крайности, чтобы получить нужный результат.</t>
  </si>
  <si>
    <t>Мне не нравится общаться с людьми, которые не умеют хорошо проводить время.</t>
  </si>
  <si>
    <t>Мне не нравятся люди, которые влезают в долги или берут значительные кредиты.</t>
  </si>
  <si>
    <t>Мне случается спорить о вещах, о которых я слишком мало знаю.</t>
  </si>
  <si>
    <t>Я считаю, что сначала нужно достичь всех высот, а потом уже наслаждаться жизнью.</t>
  </si>
  <si>
    <t>Мне не нравится рисковать своими деньгами.</t>
  </si>
  <si>
    <t>Cтабильная работа важнее, чем чувство удовлетворенности от нее.</t>
  </si>
  <si>
    <t>Меня раздражает, когда люди не проявляют ко мне должного уважения.</t>
  </si>
  <si>
    <t>Я использую любую возможность для оптимизации процессов и повышения бизнес-показателей.</t>
  </si>
  <si>
    <t>Иногда я могу пойти на риск, не до конца все взвесив.</t>
  </si>
  <si>
    <t>Я постоянно ищу/продумываю новые бизнес идеи и продукты, которые можно монетизировать.</t>
  </si>
  <si>
    <t>Я с удовольствием отправился бы в путешествие по знаменитым музеям Европы.</t>
  </si>
  <si>
    <t>Я люблю иногда посплетничать.</t>
  </si>
  <si>
    <t>Мне не нравятся люди, которые не стремятся повысить свой уровень жизни.</t>
  </si>
  <si>
    <t>Когда мы собираемся с друзьями, то обычно разговариваем на темы, не связанные с работой и бизнесом.</t>
  </si>
  <si>
    <t>Я совсем не нахожу времени на чтение книг.</t>
  </si>
  <si>
    <t>Я не понимаю людей, которые не любят путешествовать.</t>
  </si>
  <si>
    <t>Я бы с удовольствием работал финансовым аналитиком или стратегическим консультантом.</t>
  </si>
  <si>
    <t>У меня бывали денежные затруднения.</t>
  </si>
  <si>
    <t>Окружающие считают, что я умею получать удовольствие от жизни.</t>
  </si>
  <si>
    <t>Я стараюсь использовать возможности побаловать себя.</t>
  </si>
  <si>
    <t>Я хочу быть лучшим во всем.</t>
  </si>
  <si>
    <t>Я с удовольствием смотрю/читаю научно-популярные ролики, подкасты, статьи.</t>
  </si>
  <si>
    <t>В свободное от работы время я выбираю хобби, где можно соревноваться с другими (например, бег, футбол, ЧтоГдеКогда и т.д.).</t>
  </si>
  <si>
    <t>Я верю, что необходимо проявлять большое уважение к своим родителям и людям старшего возраста.</t>
  </si>
  <si>
    <t>Я всегда замечаю, когда одежда/мебель/предметы интерьера подобраны с плохим вкусом или негармонично.</t>
  </si>
  <si>
    <t>Бывает, что иногда я выхожу из себя.</t>
  </si>
  <si>
    <t>Мне случалось опаздывать на важные встречи.</t>
  </si>
  <si>
    <t>Я всегда смущаюсь, когда кто-то отмечает мои успехи публично.</t>
  </si>
  <si>
    <t>Даже плохой проект идет хорошо в крепкой команде.</t>
  </si>
  <si>
    <t>Время от времени я чувствую, что моя жизнь стала скучной и мне срочно нужно добавить новых впечатлений.</t>
  </si>
  <si>
    <t>Мне важно работать в аккуратном, гармоничном пространстве.</t>
  </si>
  <si>
    <t>Я всегда отмечаю прибыльные бизнес решения / подходы, предложенные коллегами или реализованные конкурентами и участниками рынка.</t>
  </si>
  <si>
    <t>Я бы предпочел быть фрилансером, чем работать в команде.</t>
  </si>
  <si>
    <t>Я готов пожертвовать интересными задачами, зарплатой и условиями труда ради работы в классной команде.</t>
  </si>
  <si>
    <t>Я люблю игры, в которых можно расслабиться и развлечься, не надо много думать.</t>
  </si>
  <si>
    <t>Я бы прошел в кино без билета, если был бы твердо уверен, что меня не проверят.</t>
  </si>
  <si>
    <t>Мне больше нравится отдыхать, чем работать.</t>
  </si>
  <si>
    <t>Я недолюбливаю людей, поступки которых всегда предсказуемы.</t>
  </si>
  <si>
    <t>Я считаю, что правила существуют для того, чтобы их нарушать.</t>
  </si>
  <si>
    <t>Настоящих результатов можно достичь только в большой команде.</t>
  </si>
  <si>
    <t>В выходные я предпочту остаться дома, заняться домашними делами.</t>
  </si>
  <si>
    <t>Для меня важно, чтобы мои ценности совпадали с ценностями коллег и компании.</t>
  </si>
  <si>
    <t>Есть много вещей в жизни, на которые мы просто не можем повлиять.</t>
  </si>
  <si>
    <t>При просмотре кино я погружаюсь в сюжет и почти чувствую себя участником разворачивающихся событий.</t>
  </si>
  <si>
    <t>В моем окружении есть люди, которые мне очень не нравятся.</t>
  </si>
  <si>
    <t>Мне важно чувствовать, что я могу положиться на своих коллег и руководителя.</t>
  </si>
  <si>
    <t>Я с удовольствием соглашаюсь участвовать в новых бизнес-проектах, будущее которых очень туманно.</t>
  </si>
  <si>
    <t>Мне нравится работа, требующая большой тщательности и высокой квалификации.</t>
  </si>
  <si>
    <t>Если у меня будут лишние деньги, я куплю:</t>
  </si>
  <si>
    <t>Во время собраний и в компаниях:</t>
  </si>
  <si>
    <t>Я выберу посмотреть, как играют уличные музыканты, чем наблюдать за спором прохожих:</t>
  </si>
  <si>
    <t>Я спокойно выдерживаю рядом с собой самовлюбленных людей, даже если они кичатся своими достижениями или другим образом показывают, что они высокого мнения о себе.</t>
  </si>
  <si>
    <t>В ходе беседы я:</t>
  </si>
  <si>
    <t>Я часто с удовольствием соглашаюсь провести время в большой компании, посидеть вечером в кругу друзей, сходить потанцевать и т.д.</t>
  </si>
  <si>
    <t>Важнее, чтобы старшие помогали ребенку:</t>
  </si>
  <si>
    <t>В ситуации, когда меня позвал на разговор руководитель, я:</t>
  </si>
  <si>
    <t>Мне было бы приятно посещать различные развлекательные мероприятия (например, театры, кино, спортивные соревнования), где можно весело провести время.</t>
  </si>
  <si>
    <t>Я бы мог работать специалистом по редким животным (например, альпакам или шиншиллам) и ухаживать за больными пациентами.</t>
  </si>
  <si>
    <t>Если бы я был ученым и проводил исследование, то я бы выбрал:</t>
  </si>
  <si>
    <t>Мне неприятно, когда другие люди беззастенчиво разглядывают меня в ресторане, на мероприятии, в метро.</t>
  </si>
  <si>
    <t>Если клиент или партнер ведет себя токсично и демонстрирует свою враждебность, ...</t>
  </si>
  <si>
    <t>Я осваиваю новое и разбираю сложные задачи:</t>
  </si>
  <si>
    <t>Я следую поговорке...</t>
  </si>
  <si>
    <t>При знакомстве с новой для себя темой, мне важно:</t>
  </si>
  <si>
    <t>Мне в любой момент просто и легко отказаться от привычных действий / пристрастий и комфортно жить без них.</t>
  </si>
  <si>
    <t>Я озвучил интересную мысль, но коллеги пропустили ее. Тогда я:</t>
  </si>
  <si>
    <t>Готовясь к отпуску, я буду ориентироваться на экскурсионный маршрут, разработанный специалистами по данной местности, а не осваивать страну самостоятельно:</t>
  </si>
  <si>
    <t>Я верю, что руководитель может ошибаться, но у него право последнего слова.</t>
  </si>
  <si>
    <t>Когда я выступаю на совещании перед командой и коллеги громко озвучивают свое мнение, меня это не сбивает.</t>
  </si>
  <si>
    <t>Общение с непримечательными и консервативными, по моему мнению, коллегами,</t>
  </si>
  <si>
    <t>Если ко мне обратятся с просьбой организовать сюрприз юбиляру или провести празднование, я:</t>
  </si>
  <si>
    <t>Про меня можно сказать, что я:</t>
  </si>
  <si>
    <t>Когда собеседник или ситуация выбивает меня из колеи или наносит мне ощутимый вред, я…
 обращаюсь к тому, кто может меня поддержать.</t>
  </si>
  <si>
    <t>Когда собеседник или ситуация выбивает меня из колеи или наносит мне ощутимый вред, я…
 настраиваю себя на то, что я со всем справлюсь.</t>
  </si>
  <si>
    <t>Когда собеседник или ситуация выбивает меня из колеи или наносит мне ощутимый вред, я…
 хочу как можно быстрее закрыть эту ситуацию.</t>
  </si>
  <si>
    <t>Когда собеседник или ситуация выбивает меня из колеи или наносит мне ощутимый вред, я…
 ищу сразу несколько вариантов решения проблемы.</t>
  </si>
  <si>
    <t>Когда собеседник или ситуация выбивает меня из колеи или наносит мне ощутимый вред, я…
 чувствую, как рождается зависть к тем, на ком ситуация не отразилась.</t>
  </si>
  <si>
    <t>Когда собеседник или ситуация выбивает меня из колеи или наносит мне ощутимый вред, я…
 думаю о себе (например, перехожу на полезную диету, пью больше воды, выезжаю на природу).</t>
  </si>
  <si>
    <t>Когда собеседник или ситуация выбивает меня из колеи или наносит мне ощутимый вред, я…
 накручиваю себя и чувствую, что действительно сильно переживаю.</t>
  </si>
  <si>
    <t>Когда собеседник или ситуация выбивает меня из колеи или наносит мне ощутимый вред, я…
 полностью погружаюсь в работу.</t>
  </si>
  <si>
    <t>Когда собеседник или ситуация выбивает меня из колеи или наносит мне ощутимый вред, я…
 жестко отстаиваю свое видение перед коллегами.</t>
  </si>
  <si>
    <t>Когда собеседник или ситуация выбивает меня из колеи или наносит мне ощутимый вред, я…
 размышляю о том, какие варианты действий я мог предпринять, что еще можно было сделать в этой ситуации.</t>
  </si>
  <si>
    <t>Когда собеседник или ситуация выбивает меня из колеи или наносит мне ощутимый вред, я…
 более внимательно просчитываю зоны риска, чтобы такого больше не случалось.</t>
  </si>
  <si>
    <t>Люблю, когда все просто.</t>
  </si>
  <si>
    <t>Я чувствую себя спокойно в неожиданных / внезапных ситуациях.</t>
  </si>
  <si>
    <t>Мне интересно разбираться, как устроены вещи (например, как работает нефтеперерабатывающий завод, как устроена атомная станция, как строятся высотки и т.д.).</t>
  </si>
  <si>
    <t>Я стараюсь не нарушать свои привычки и принципы даже в самых сложных ситуациях.</t>
  </si>
  <si>
    <t>Для меня важно чувствовать безопасное пространство, я стараюсь избегать неприятностей.</t>
  </si>
  <si>
    <t>Я часто обнаруживаю себя в ситуации глубоких ярких переживаний, обычная жизнь не для меня.</t>
  </si>
  <si>
    <t>Шкала H смелость</t>
  </si>
  <si>
    <t>Секция 1. Черты характера</t>
  </si>
  <si>
    <t>Был случай, когда я придумал "вескую" причину, чтобы оправдаться.</t>
  </si>
  <si>
    <t>На юбилеи и праздники:</t>
  </si>
  <si>
    <t>Секция 4. Ценности</t>
  </si>
  <si>
    <t>Секция 2. Работа в неопределенности</t>
  </si>
  <si>
    <t>Я не буду задерживаться на работе допоздна и выходить в свой выходной, даже если за это будет дополнительная оплата.</t>
  </si>
  <si>
    <t>Прыжкам с парашютом  / сноуборду / подъему на Эверест я предпочту прогулку в парке.</t>
  </si>
  <si>
    <t>Для меня важно, чтобы в коллективе была открытая атмосфера без конфликтов и недопонимания.</t>
  </si>
  <si>
    <t>да, верно</t>
  </si>
  <si>
    <t>нет, это неверно</t>
  </si>
  <si>
    <t>Секция 3. Выгорание</t>
  </si>
  <si>
    <t>Фаза 2. Сопротивление
2. Эмоциональная защита</t>
  </si>
  <si>
    <t>Фаза 2. Сопротивление
3. Экономия эмоций</t>
  </si>
  <si>
    <t>Фаза 1. Напряжение
1. Переживание</t>
  </si>
  <si>
    <t>Фаза 1. Напряжение
3. Загнанность в клетку</t>
  </si>
  <si>
    <t>Фаза 1. Напряжение 
4. Тревога</t>
  </si>
  <si>
    <t>Фаза 1. Напряжение
2. Неудовлетворенность собой</t>
  </si>
  <si>
    <t>Фаза 2. Сопротивление
1. Избирательное эмоциональное реагирование</t>
  </si>
  <si>
    <t>Фаза 2. Сопротивление
4. Эмпатическая усталость</t>
  </si>
  <si>
    <t>Фаза  3. Истощение
1. Эмоциональная опустошенность</t>
  </si>
  <si>
    <t>Фаза  3. Истощение 
2. Эмоциональная отстраненность</t>
  </si>
  <si>
    <t>Фаза  3. Истощение
3. Личностная отстраненность</t>
  </si>
  <si>
    <t>Фаза  3. Истощение
4. Психосоматика</t>
  </si>
  <si>
    <t>Я очень расстраиваюсь, если что-то идет не так в работе с коллегами/клиентами/партнерами.</t>
  </si>
  <si>
    <t>Я очень устаю на работе и стремлюсь дома сократить общение с близкими и друзьями.</t>
  </si>
  <si>
    <t>По работе я постоянно сталкиваюсь со значительными эмоциональными нагрузками.</t>
  </si>
  <si>
    <t>Я вижу, что нахожусь в почти безнадежной рабочей ситуации.</t>
  </si>
  <si>
    <t>Я постоянно нервничаю из-за работы.</t>
  </si>
  <si>
    <t>Специфика бизнеса / работы заставляет меня напрягаться.</t>
  </si>
  <si>
    <t>Бывает, что я смехом реагирую на неприличную шутку.</t>
  </si>
  <si>
    <t>Сейчас моя профессия нравится мне не меньше, чем когда я только начал работать.</t>
  </si>
  <si>
    <t>Я совершил ошибку, выбирая профессию/специальность.</t>
  </si>
  <si>
    <t>Меня тревожит, что я стал работать с меньшей продуктивностью / эффективностью / скоростью / креативностью.</t>
  </si>
  <si>
    <t>При контакте с коллегами/клиентами/партнерами я эмоционально "вкладываюсь" только в самых важных для меня собеседников.</t>
  </si>
  <si>
    <t>Я сомневаюсь в пользе своей работы для коллег/партнеров/клиентов.</t>
  </si>
  <si>
    <t>После работы мне нужно несколько часов, чтобы побыть наедине с собой, без взаимодействия с другими.</t>
  </si>
  <si>
    <t>Когда я чувствую усталость, я стараюсь побыстрее урегулировать вопрос с партнером/коллегой/клиентом и завершить обсуждение.</t>
  </si>
  <si>
    <t>Я чувствую, что эмоционально я не могу дать партнерам/коллегам/клиентам то, что от меня требуется.</t>
  </si>
  <si>
    <t>Моя работа делает меня менее чутким к окружающим.</t>
  </si>
  <si>
    <t>Меня очень утомили человеческие потребности/проблемы, которые приходится решать на работе.</t>
  </si>
  <si>
    <t>Иногда мне сложно уснуть / я плохо сплю, так как переживаю за рабочие ситуации.</t>
  </si>
  <si>
    <t>Работа с коллегами/клиентами/партнерами требует от меня значительного напряжения.</t>
  </si>
  <si>
    <t>Взаимодействие с коллегами/партнерами дает мне все меньше удовлетворения.</t>
  </si>
  <si>
    <t>Я бы поменял должность или условия работы, если бы возникла такая возможность.</t>
  </si>
  <si>
    <t>Я сомневаюсь, что качество моей работы и уровень профессионализма соответствует ожиданиям коллег/клиентов/партнеров.</t>
  </si>
  <si>
    <t>Периодически самые простые рабочие вопросы вызывают у меня раздражение.</t>
  </si>
  <si>
    <t>Когда я с кем-нибудь играю, я хочу победить.</t>
  </si>
  <si>
    <t>Я спокойно принимаю аргументированную негативную обратную связь / претензии от коллег/клиентов/партнеров.</t>
  </si>
  <si>
    <t>После работы с коллегами/клиентами/партнерами я чувствую, что замыкаюсь в себе.</t>
  </si>
  <si>
    <t>Когда я вспоминаю определенных коллег/клиентов/партнеров, у меня ухудшается настроение.</t>
  </si>
  <si>
    <t>Споры и недопонимания с коллегами/клиентами/партнерами забирают много сил и эмоций.</t>
  </si>
  <si>
    <t>Я чувствую, что мне становится тяжелее выстраивать и сохранять крепкие рабочие связи с коллегами/клиентами/партнерами.</t>
  </si>
  <si>
    <t>Рабочая среда ощущается как сложная и тяжелая.</t>
  </si>
  <si>
    <t>Со сложными, по моему мнению, коллегами/клиентами/партнерами я стремлюсь сократить время и возможности общения, оставлять работу с ними на потом.</t>
  </si>
  <si>
    <t>Часто я жалею, что идя на встречу клиентам/партнерам/коллегами, я делаю больше, чем требуется.</t>
  </si>
  <si>
    <t>Я с удовольствием рассказываю близким и друзьям о работе.</t>
  </si>
  <si>
    <t>Иногда моя усталость от работы отражается на рабочих ситуациях: спорю с коллегами, теряю продуктивность, не могу сосредоточиться.</t>
  </si>
  <si>
    <t>Иногда у меня нет сил, чтобы эмоционально вовлечься в коммуникации с коллегами/клиентами/партнерами.</t>
  </si>
  <si>
    <t>Я сильно беспокоюсь за свою работу.</t>
  </si>
  <si>
    <t>Я чувствую, что вкладываюсь в коммуникацию с коллегами/клиентами/партнерам значительно сильнее, чем получаю от них благодарности.</t>
  </si>
  <si>
    <t>Когда я думаю про работу, я начинаю чувствовать себя некомфортно: болит сердце, ломит в спине, скачет давление, начинает болеть голова.</t>
  </si>
  <si>
    <t>У нас с моим руководителем / командой сложились крепкие хорошие рабочие отношения.</t>
  </si>
  <si>
    <t>Я с удовольствием наблюдаю, как то, что я делаю, помогает другим.</t>
  </si>
  <si>
    <t>Меня часто сопровождают поражения /ошибки.</t>
  </si>
  <si>
    <t>Отдельные аспекты моей работы очень огорчают и угнетают.</t>
  </si>
  <si>
    <t>Иногда общение с коллегами/клиентами/партнерами происходит не так удачно, как хотелось бы.</t>
  </si>
  <si>
    <t>Справляться с работой в последнее время стало труднее, чем раньше.</t>
  </si>
  <si>
    <t>Я так сильно устаю на работе, что стараюсь уменьшить количество времени, которое я провожу со своим окружением.</t>
  </si>
  <si>
    <t>Мне интересно знать о коллегах/клиентах/партнерах больше, чем нужно для решения рабочих вопросов.</t>
  </si>
  <si>
    <t>Я начинаю новый рабочий день полным сил, бодрым и энергичным.</t>
  </si>
  <si>
    <t>В последнее время я замечаю, что стал работать с коллегами/клиентами/партнерами на автомате, не вкладывая чувства.</t>
  </si>
  <si>
    <t>Некоторые люди мне кажутся настолько невыносимыми, что мысленно желаю им чего-то нехорошего.</t>
  </si>
  <si>
    <t>После разговора с токсичным коллегой/клиентом/партнером я чувствую себя хуже (телесно или эмоционально).</t>
  </si>
  <si>
    <t>Я положительно отношусь к заслуженному успеху тех, кто мне не нравится.</t>
  </si>
  <si>
    <t>Я забочусь о себе и стараюсь сильно не волноваться из-за сложностей на работе.</t>
  </si>
  <si>
    <t>Я регулярно "приношу" с работы плохое настроение домой.</t>
  </si>
  <si>
    <t>Я часто доделываю работу через силу.</t>
  </si>
  <si>
    <t>Раньше я заботился и сопереживал коллегам/клиентам/партнерам ощутимо больше, чем в последнее время.</t>
  </si>
  <si>
    <t>В работе с людьми я придерживаюсь принципа — не вовлекайся, береги нервы.</t>
  </si>
  <si>
    <t>Иногда я просыпаюсь с ощущением тяжести: работа надоела, ничего не хочу.</t>
  </si>
  <si>
    <t>Заканчивая сложный рабочий день, я чувствую сильную усталость.</t>
  </si>
  <si>
    <t>Я работаю с очень непростыми коллегами/клиентами/партнерами.</t>
  </si>
  <si>
    <t>Усилия и внимание, которые я инвестирую в работу несравнимы с результатами, которые я получаю.</t>
  </si>
  <si>
    <t>Мне кажется, что мой карьерный путь сложился неудачно.</t>
  </si>
  <si>
    <t>Я падаю духом из-за больших сложностей на работе.</t>
  </si>
  <si>
    <t>Периодически я делаю в работе с другими вещи, которые я бы не хотел испытать на себе.</t>
  </si>
  <si>
    <t>Я критикую коллег/клиентов/партнеров, которые просят для себя особого отношения.</t>
  </si>
  <si>
    <t>Обычно после работы у меня уже нет сил на бытовые дела.</t>
  </si>
  <si>
    <t>Я часто стараюсь приблизить окончание рабочего дня (болтаю с коллегой, активнее скроллю ленту соц.сетей).</t>
  </si>
  <si>
    <t>Мне свойственно иногда хвастаться.</t>
  </si>
  <si>
    <t>Мне по-настоящему важны интересы и ожидания коллег/клиентов/партнеров.</t>
  </si>
  <si>
    <t>Я представляю, как выставил "стенку" между собой и собеседником, чтобы оградить себя от чужих переживаний и эмоций.</t>
  </si>
  <si>
    <t>Работа с людьми не оправдала моих надежд.</t>
  </si>
  <si>
    <t>Чтобы восстановить силы, я часто хочу съесть что-то приятное (например, стейки, шоколад, мороженое или чипсы) или выпить вина / газировки.</t>
  </si>
  <si>
    <t>Обычно рабочий день проходит комфортно и приятно.</t>
  </si>
  <si>
    <t>Я жду от работы больше, чем получаю.</t>
  </si>
  <si>
    <t>Мой карьерный путь я считаю успешным.</t>
  </si>
  <si>
    <t>Я сильно переживаю о своей работе.</t>
  </si>
  <si>
    <t>С отдельными постоянными клиентами/коллегами/партнерами я хотел бы сократить взаимодействие.</t>
  </si>
  <si>
    <t>Рабочая нагрузка и рабочее переутомление не отражаются на моей обычной вне офисной жизни (на семье, увлечениях, спорте).</t>
  </si>
  <si>
    <t>Я делаю меньше для определенного коллеги/клиента/партнера, когда уверен, что он это не заметит.</t>
  </si>
  <si>
    <t>Я регулярно эмоционально срываюсь в коммуникациях с людьми.</t>
  </si>
  <si>
    <t>Значительная часть рабочих вопросов у меня не вызывает эмоционального отклика.</t>
  </si>
  <si>
    <t>Все мои привычки - положительные.</t>
  </si>
  <si>
    <t>Мой рабочий опыт сделал меня жестче: я стал напряженным, собранным.</t>
  </si>
  <si>
    <t>Работа наносит ущерб моему самочувствию.</t>
  </si>
  <si>
    <t>Мне удается не переносить свое плохое настроение на работу с людьми.</t>
  </si>
  <si>
    <t>Ввиду большой рабочей нагрузки, сжатых сроков и личной усталости, я посвящаю семье и близким значительно меньше времени, чем я бы хотел.</t>
  </si>
  <si>
    <t>Я часто думаю о возможных проблемах в работе: что что-то пойдет не так, что мог ошибиться где-то, справлюсь ли я с работой, не уволят ли меня?</t>
  </si>
  <si>
    <t>Прогресс в моей работе воодушевляет меня.</t>
  </si>
  <si>
    <t>В течение года я хотя бы один раз проигнорировал негативную обратную связь / претензию, полученную от коллег/клиентов/партнеров.</t>
  </si>
  <si>
    <t>Мне нравятся сотрудники, которые руководствуются интересами бизнеса, все свое внимание и силы посвящают работе, не думая о себе.</t>
  </si>
  <si>
    <t xml:space="preserve">Шкала F Импульсивность </t>
  </si>
  <si>
    <t>Шкала I  Восприятие</t>
  </si>
  <si>
    <t>Уступчивость, конформность, скромность, аккуратность во взаимодействии с командой.</t>
  </si>
  <si>
    <t>Разговорчивость, энергичность, импульсивность, восторженность, активное предъявление себя миру.</t>
  </si>
  <si>
    <t>Робость, неуверенность в своих силах; ситуативная нерешительность.</t>
  </si>
  <si>
    <t>Предприимчивость, социальная смелость, толстокожесть; толерантность к риску.</t>
  </si>
  <si>
    <t>Смелость, авантюризм, толерантность к риску и сигналам об опасности.</t>
  </si>
  <si>
    <t>Потребность во внимании и поддержке, способность к эмпатии и пониманию других.</t>
  </si>
  <si>
    <t>Потребность во внимании и поддержке; эмпатичность,  чувствительность, интуитивность. Внимание к мелочам.</t>
  </si>
  <si>
    <t>Терпимость и терпеливость в работе; уживчивость, слаженная работа в группе.</t>
  </si>
  <si>
    <t>Терпимость и терпеливость в работе;  уживчивость, благожелательность; слаженная работа в группе.</t>
  </si>
  <si>
    <t>Подозрительность, склонность озвучивать собственное мнение; недоверие чужим оценкам и мнениям.</t>
  </si>
  <si>
    <t>Подозрительность, склонность озвучивать собственное мнение; недоверие чужим оценкам, внимание на неудачах.</t>
  </si>
  <si>
    <t>Заземленность, надежность, внимательность к мелочам, ориентация на задачи "здесь и сейчас".</t>
  </si>
  <si>
    <t>Прямолинейность, откровенность, естественность, простота. Желание вести открытую прозрачную коммуникацию.</t>
  </si>
  <si>
    <t>Прямолинейность, естественность, простота. Желание вести открытую прозрачную коммуникацию.</t>
  </si>
  <si>
    <t>Проницательность, утонченность, расчетливость, способность оказывать влияние.</t>
  </si>
  <si>
    <t>Обеспокоенность, суетливость, неуверенность в себе, ситуативное ощущение вины. Желание перепроверять работу.</t>
  </si>
  <si>
    <t>Устоявшиеся взгляды на жизнь, фокусирование на ключевых фактах для принятия решений.</t>
  </si>
  <si>
    <t>Устоявшиеся взгляды на жизнь, фокусирование на ключевых фактах/ мнениях для принятия решений.</t>
  </si>
  <si>
    <t>Исследование неочевидных скрытых факторов и сценариев развития событий, недоверие авторитетам.</t>
  </si>
  <si>
    <t>Принятие решений на основе анализа информации. Поиск взаимосвязи между разрозненными данными.</t>
  </si>
  <si>
    <t>Умение собраться, сильная воля, целенаправленность.</t>
  </si>
  <si>
    <t>Сильная воля, способность преодолеть себя ради достижения цели.</t>
  </si>
  <si>
    <t>Расслабленность, удовлетворенность собой и в целом жизненной ситуацией.</t>
  </si>
  <si>
    <t>Стратегия ярко проявляется. Поиск вариантов решения проблемы; планирование активности; отслеживание прогресса.</t>
  </si>
  <si>
    <t>Средняя интенсивность. Ощущение значительной рабочей нагрузки.</t>
  </si>
  <si>
    <t>Слабая интенсивность. Ощущение дискомфорта в работе.</t>
  </si>
  <si>
    <t>Слабая интенсивность. Ощущение нагрузки в работе, раздражение при решении стандартных рабочих задач.</t>
  </si>
  <si>
    <t>Высокая интенсивность. Ощущение значительной рабочей нагрузки.</t>
  </si>
  <si>
    <t>Средняя интенсивность. Ощущение невозможности изменить ситуацию. Потерял сил, пустота внутри.</t>
  </si>
  <si>
    <t>Высокая интенсивность. Ощущение невозможности изменить ситуацию. Потерял сил, пустота внутри.</t>
  </si>
  <si>
    <t xml:space="preserve">Слабая интенсивность. Тревога, желание "затормозиться". </t>
  </si>
  <si>
    <t>Средняя интенсивность. Желание «остановиться». Потребность получать больше от эмоциональных вложений в работу.</t>
  </si>
  <si>
    <t>Высокая интенсивность. Желание «остановиться». Потребность получать больше от эмоциональных вложений в работу.</t>
  </si>
  <si>
    <t>Слабая интенсивность. Ощущение усталости от коммуникаций.</t>
  </si>
  <si>
    <t>Средняя интенсивность. Ощущение усталости от коммуникаций, равнодушие в ответ на рабочие ситуации.</t>
  </si>
  <si>
    <t>Высокая интенсивность.  Ощущение усталости от коммуникаций, равнодушие в ответ на рабочие ситуации.</t>
  </si>
  <si>
    <t>Слабая интенсивность. Ситуативное желание оградить себя от общения со сложными коллегами / клиентами.</t>
  </si>
  <si>
    <t>Средняя интенсивность. Желание оградить себя от общения с коллегами / клиентами; нежелание принимать на себя чужие эмоции.</t>
  </si>
  <si>
    <t>Высокая интенсивность. Частое желание защитить себя от коммуникаций, избегание принимать на себя эмоции.</t>
  </si>
  <si>
    <t>Незначимая потребность в ощущении принадлежности к группе, наличии общих ценностей и
мировоззрения.</t>
  </si>
  <si>
    <t xml:space="preserve">Значимая потребность в разнообразии и глубоких переживаниях; отдых через погружение 
в приключения, проживание новых впечатлений и опытов. </t>
  </si>
  <si>
    <t>Непроявленная потребность в креативном самовыражении, ощущение недостаточной важности визуального представления и качества материалов.</t>
  </si>
  <si>
    <t>Значимая потребность в креативном самовыражении, важность визуального представления и гармоничности,
потребность в идеальности материалов.</t>
  </si>
  <si>
    <t>Значимая потребность в креативном самовыражении, важность визуального представления и гармоничности, качества материалов.</t>
  </si>
  <si>
    <t>Проявленная потребность в креативном самовыражении, важность визуального представления и гармоничности, качества материалов.</t>
  </si>
  <si>
    <t>обсуждать варианты внедрения результатов в жизнь</t>
  </si>
  <si>
    <t>нет, не ощущаю</t>
  </si>
  <si>
    <t>да, готов</t>
  </si>
  <si>
    <t>да, выберу</t>
  </si>
  <si>
    <t>да, рассказываю</t>
  </si>
  <si>
    <t>нет, не верно</t>
  </si>
  <si>
    <t>нет, буду</t>
  </si>
  <si>
    <t>Недисциплинированность,  ситуативное игнорирование деталей, следование своим побуждениям.</t>
  </si>
  <si>
    <t>Ситуативное игнорирование деталей, следование своим побуждениям.</t>
  </si>
  <si>
    <t>"Рывковый" принцип выполнения работы, непоследовательность, склонность доделывать в последний момент.</t>
  </si>
  <si>
    <t xml:space="preserve">"Рывковый" принцип выполнения работы, непоследовательность. </t>
  </si>
  <si>
    <t>Собранность, обязательность, последовательное выполнение работы.</t>
  </si>
  <si>
    <t>Высокая требовательность к себе,  дисциплинированность и ответственность.</t>
  </si>
  <si>
    <t>Разделение ответственности с группой, поиск поддержки от значимых сотрудников/руководителей.</t>
  </si>
  <si>
    <t>Независимость, самостоятельность, отсутствие необходимости в поддержке.</t>
  </si>
  <si>
    <t>да, считают</t>
  </si>
  <si>
    <t>огорчало иногда</t>
  </si>
  <si>
    <t>нет, комфортно</t>
  </si>
  <si>
    <t xml:space="preserve">Эмоциональная неустойчивость, склонность к раздражительности/возбудимости, переменчивость в интересах. </t>
  </si>
  <si>
    <t xml:space="preserve">Застенчивость. Нерешительность, желание находиться в тени. </t>
  </si>
  <si>
    <t>Трезвая оценка своих сил, быстрая реакция на опасность.</t>
  </si>
  <si>
    <t>Мечтательность, творческий потенциал;  концептуализация и объемное мышление, богатое воображение.</t>
  </si>
  <si>
    <t>Мечтательность, творческий потенциал;  концептуализация и объемное мышление, воображение.</t>
  </si>
  <si>
    <t>Проницательность, расчетливость, способность оказывать влияние.</t>
  </si>
  <si>
    <t>Консерватизм, выделение ключевых данных для принятия быстрых решений.</t>
  </si>
  <si>
    <t>Исследование неочевидных скрытых факторов и сценариев развития событий, недоверие мнениям других.</t>
  </si>
  <si>
    <t xml:space="preserve">Разделение ответственности с другими, необходимость отслеживания мнений других. </t>
  </si>
  <si>
    <t>Поиск самостоятельных решений, умение выполнить работу в одиночку. Опора на себя.</t>
  </si>
  <si>
    <t>Развитая воля, сильный контроль своих эмоций и поведения, забота о репутации.</t>
  </si>
  <si>
    <t>Высокая интенсивность. Ощущение значительной рабочей нагрузки. Чувство суеты / бессмысленности происходящего.</t>
  </si>
  <si>
    <t>Незначимая потребность в ощущении принадлежности к группе, наличии общих ценностей и мировоззрения.</t>
  </si>
  <si>
    <t xml:space="preserve">Значимая потребность в ощущении принадлежности к группе, наличии общих ценностей и мировоззрения. </t>
  </si>
  <si>
    <t>Непроявленная ценность наращивания экспертизы и глубины погружения в материал, создания сложных  интеллектуальных решений.</t>
  </si>
  <si>
    <t>Интерес к наращиванию экспертизы и глубине погружения в материал, созданию сложных  интеллектуальных решений.</t>
  </si>
  <si>
    <t>Потребность в предсказуемости, структуре и порядку; проявленная потребность ощущать стабильность и безопасность среды.</t>
  </si>
  <si>
    <t>Интерес к запуску бизнес-проектов / идей / продуктов; готовность идти на денежные и бизнес риски.</t>
  </si>
  <si>
    <t>Незначимая потребность к запуску бизнес-проектов / идей / продуктов; неготовность идти на денежные и бизнес риски.</t>
  </si>
  <si>
    <t>научиться управлять своим состоянием</t>
  </si>
  <si>
    <t>всегда</t>
  </si>
  <si>
    <t>квартиру в центре города</t>
  </si>
  <si>
    <t>нет, не выберу</t>
  </si>
  <si>
    <t>да, следует</t>
  </si>
  <si>
    <t>только если это необходимо</t>
  </si>
  <si>
    <t>сердцем и логикой в равной степени</t>
  </si>
  <si>
    <t>сначала хорошо продумываю свою позицию</t>
  </si>
  <si>
    <t>много раз</t>
  </si>
  <si>
    <t>да, добиваюсь</t>
  </si>
  <si>
    <t>участвовать во внедрении проекта в жизнь</t>
  </si>
  <si>
    <t>нет, не действую</t>
  </si>
  <si>
    <t>возможно он что-то перепутал</t>
  </si>
  <si>
    <t>нет, не легко</t>
  </si>
  <si>
    <t>нет, не нравится</t>
  </si>
  <si>
    <t>да, займусь</t>
  </si>
  <si>
    <t>да, действуют</t>
  </si>
  <si>
    <t>воспользуюсь сам и оценю его возможности</t>
  </si>
  <si>
    <t>согласен</t>
  </si>
  <si>
    <t>да, не нравится</t>
  </si>
  <si>
    <t>да, отношу</t>
  </si>
  <si>
    <t>повторю свое замечание снова</t>
  </si>
  <si>
    <t>создании для ребенка пространства любви и внимания</t>
  </si>
  <si>
    <t>вмешаюсь</t>
  </si>
  <si>
    <t>мне комфортно высказывать свою позицию</t>
  </si>
  <si>
    <t>да, могу</t>
  </si>
  <si>
    <t>не чувствую дискомфорт</t>
  </si>
  <si>
    <t>нет, не испытываю</t>
  </si>
  <si>
    <t>постараюсь его успокоить</t>
  </si>
  <si>
    <t>да, бывает</t>
  </si>
  <si>
    <t>поймать суть идеи и возможности которая она дает</t>
  </si>
  <si>
    <t>действовать в команде</t>
  </si>
  <si>
    <t>создавать крепкие рабочие отношения с коллегами</t>
  </si>
  <si>
    <t>да, ориентируюсь</t>
  </si>
  <si>
    <t>наладить эффективную коммуникацию с внутренними/внешними клиентами</t>
  </si>
  <si>
    <t>не редко</t>
  </si>
  <si>
    <t>да, не часто</t>
  </si>
  <si>
    <t>это не отвлекает, мне легко сконцентрироваться</t>
  </si>
  <si>
    <t>очень часто</t>
  </si>
  <si>
    <t>да, выдерживаю</t>
  </si>
  <si>
    <t>да, соглашаюсь</t>
  </si>
  <si>
    <t>воспользуюсь ситуацией, чтобы рассказать о своих идеях и предложениях</t>
  </si>
  <si>
    <t>да, пройду и забуду</t>
  </si>
  <si>
    <t>практически никогда</t>
  </si>
  <si>
    <t>нередко оборачивается достаточно увлекательной и насыщенной</t>
  </si>
  <si>
    <t>с пониманием отношусь к запросам и ожиданиям окружения</t>
  </si>
  <si>
    <t>писателем</t>
  </si>
  <si>
    <t>да, стараюсь</t>
  </si>
  <si>
    <t>нет, не мог бы</t>
  </si>
  <si>
    <t>да, раздражает</t>
  </si>
  <si>
    <t>продюсером телешоу</t>
  </si>
  <si>
    <t>участвуя в коллективном обсуждении</t>
  </si>
  <si>
    <t>беседовать с заказчиками и партнерами</t>
  </si>
  <si>
    <t>не знаю</t>
  </si>
  <si>
    <t>да, удерживаю себя</t>
  </si>
  <si>
    <t>да, будут</t>
  </si>
  <si>
    <t>я чувствую брезгливость и антипатию</t>
  </si>
  <si>
    <t>преподавателем</t>
  </si>
  <si>
    <t>да, стремлюсь</t>
  </si>
  <si>
    <t>время от времени</t>
  </si>
  <si>
    <t>я скрываю свои эмоции и переживания</t>
  </si>
  <si>
    <t>мне интересно, чем все закончится и кто окажется прав</t>
  </si>
  <si>
    <t>да, чувствую</t>
  </si>
  <si>
    <t>через разговор с другими</t>
  </si>
  <si>
    <t>заниматься карьерным коучингом и поддерживать студентов в выборе карьерного пути</t>
  </si>
  <si>
    <t>да, беспокоюсь</t>
  </si>
  <si>
    <t>нет, не бывает</t>
  </si>
  <si>
    <t>немного</t>
  </si>
  <si>
    <t>да, ценнее</t>
  </si>
  <si>
    <t>1 раз в неделю</t>
  </si>
  <si>
    <t>не согласен</t>
  </si>
  <si>
    <t>Sergey Denisenko</t>
  </si>
  <si>
    <t>нет, не высказываюсь</t>
  </si>
  <si>
    <t>с фиксированной регулярной зарплатой</t>
  </si>
  <si>
    <t>нечто среднее</t>
  </si>
  <si>
    <t>да, опешу</t>
  </si>
  <si>
    <t>делать подарки для меня тягостное занятие</t>
  </si>
  <si>
    <t>да, проявлены</t>
  </si>
  <si>
    <t>да, не думаю</t>
  </si>
  <si>
    <t>периодически</t>
  </si>
  <si>
    <t>болтать со спутниками</t>
  </si>
  <si>
    <t>активный и настойчивый</t>
  </si>
  <si>
    <t>«Шутке – минутка, а делу – час»</t>
  </si>
  <si>
    <t>нет, не скажу</t>
  </si>
  <si>
    <t>нет, чувствую</t>
  </si>
  <si>
    <t>четкие, со стержнем, например, рок или рэп</t>
  </si>
  <si>
    <t>да, интресно</t>
  </si>
  <si>
    <t>литературу</t>
  </si>
  <si>
    <t>откажусь</t>
  </si>
  <si>
    <t>да, по душе</t>
  </si>
  <si>
    <t>требую</t>
  </si>
  <si>
    <t>нет, нравится</t>
  </si>
  <si>
    <t>лишь после серьезной дискуссии</t>
  </si>
  <si>
    <t>да, это так</t>
  </si>
  <si>
    <t>испытываю к ним чувство презрения</t>
  </si>
  <si>
    <t>выбираю решать проблемы по ходу их возникновения</t>
  </si>
  <si>
    <t>да, легко</t>
  </si>
  <si>
    <t>denisenko@sss.com</t>
  </si>
  <si>
    <t>Email</t>
  </si>
  <si>
    <t>Название опросника</t>
  </si>
  <si>
    <t>Название компании</t>
  </si>
  <si>
    <t>мужской</t>
  </si>
  <si>
    <t>Демо-компания</t>
  </si>
  <si>
    <t>Опросник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</si>
</sst>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name val="Calibri"/>
    </font>
    <font>
      <sz val="11"/>
      <name val="Calibri"/>
      <family val="2"/>
      <charset val="204"/>
    </font>
    <font>
      <sz val="7"/>
      <name val="Calibri"/>
      <family val="2"/>
      <charset val="204"/>
    </font>
    <font>
      <b/>
      <sz val="9"/>
      <name val="Calibri"/>
      <family val="2"/>
      <charset val="204"/>
    </font>
    <font>
      <b/>
      <sz val="7"/>
      <name val="Calibri"/>
      <family val="2"/>
      <charset val="204"/>
    </font>
    <font>
      <b/>
      <i/>
      <sz val="7"/>
      <name val="Calibri"/>
      <family val="2"/>
      <charset val="204"/>
    </font>
    <font>
      <sz val="7"/>
      <color theme="1"/>
      <name val="Calibri"/>
      <family val="2"/>
      <charset val="204"/>
    </font>
    <font>
      <sz val="7"/>
      <color theme="0" tint="-0.34998626667073579"/>
      <name val="Calibri"/>
      <family val="2"/>
      <charset val="204"/>
    </font>
    <font>
      <sz val="7"/>
      <color theme="0" tint="-0.499984740745262"/>
      <name val="Calibri"/>
      <family val="2"/>
      <charset val="204"/>
    </font>
    <font>
      <b/>
      <sz val="7"/>
      <color theme="1"/>
      <name val="Calibri"/>
      <family val="2"/>
      <charset val="204"/>
    </font>
    <font>
      <b/>
      <sz val="9"/>
      <color theme="1"/>
      <name val="Calibri"/>
      <family val="2"/>
      <charset val="204"/>
    </font>
    <font>
      <sz val="9"/>
      <color rgb="FF000000"/>
      <name val="Calibri"/>
      <family val="2"/>
      <charset val="204"/>
    </font>
    <font>
      <strike/>
      <sz val="7"/>
      <name val="Calibri"/>
      <family val="2"/>
      <charset val="204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name val="Calibri"/>
      <family val="2"/>
      <charset val="204"/>
    </font>
    <font>
      <sz val="7"/>
      <color rgb="FFFF0000"/>
      <name val="Calibri"/>
      <family val="2"/>
      <charset val="204"/>
    </font>
    <font>
      <sz val="10"/>
      <color indexed="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87E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Protection="0"/>
  </cellStyleXfs>
  <cellXfs count="89">
    <xf numFmtId="0" fontId="0" fillId="0" borderId="0" xfId="0"/>
    <xf numFmtId="0" fontId="2" fillId="0" borderId="0" xfId="0" applyFont="1" applyAlignment="1">
      <alignment vertical="top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left"/>
    </xf>
    <xf numFmtId="9" fontId="2" fillId="0" borderId="0" xfId="1" applyFont="1" applyAlignment="1">
      <alignment horizontal="left" vertical="top" wrapText="1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" fontId="2" fillId="0" borderId="1" xfId="1" applyNumberFormat="1" applyFont="1" applyBorder="1" applyAlignment="1">
      <alignment horizontal="center" vertical="center" wrapText="1"/>
    </xf>
    <xf numFmtId="0" fontId="2" fillId="4" borderId="0" xfId="0" applyFont="1" applyFill="1"/>
    <xf numFmtId="0" fontId="2" fillId="4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0" xfId="0" applyFont="1" applyAlignment="1">
      <alignment vertical="top"/>
    </xf>
    <xf numFmtId="1" fontId="6" fillId="0" borderId="0" xfId="0" applyNumberFormat="1" applyFont="1"/>
    <xf numFmtId="1" fontId="7" fillId="0" borderId="1" xfId="0" applyNumberFormat="1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vertical="top" wrapText="1"/>
    </xf>
    <xf numFmtId="1" fontId="2" fillId="0" borderId="0" xfId="0" applyNumberFormat="1" applyFont="1"/>
    <xf numFmtId="0" fontId="8" fillId="0" borderId="0" xfId="0" applyFont="1"/>
    <xf numFmtId="0" fontId="3" fillId="0" borderId="1" xfId="0" applyFont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wrapText="1"/>
    </xf>
    <xf numFmtId="0" fontId="5" fillId="0" borderId="1" xfId="0" applyFont="1" applyBorder="1"/>
    <xf numFmtId="1" fontId="5" fillId="0" borderId="1" xfId="0" applyNumberFormat="1" applyFont="1" applyBorder="1" applyAlignment="1">
      <alignment horizontal="center" vertical="center"/>
    </xf>
    <xf numFmtId="0" fontId="9" fillId="7" borderId="0" xfId="0" applyFont="1" applyFill="1"/>
    <xf numFmtId="0" fontId="6" fillId="7" borderId="0" xfId="0" applyFont="1" applyFill="1" applyAlignment="1">
      <alignment wrapText="1"/>
    </xf>
    <xf numFmtId="0" fontId="9" fillId="7" borderId="0" xfId="0" applyFont="1" applyFill="1" applyAlignment="1">
      <alignment horizontal="right" vertical="top"/>
    </xf>
    <xf numFmtId="0" fontId="6" fillId="7" borderId="0" xfId="0" applyFont="1" applyFill="1"/>
    <xf numFmtId="0" fontId="6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wrapText="1"/>
    </xf>
    <xf numFmtId="0" fontId="9" fillId="7" borderId="0" xfId="0" applyFont="1" applyFill="1" applyAlignment="1">
      <alignment horizontal="center" wrapText="1"/>
    </xf>
    <xf numFmtId="0" fontId="2" fillId="7" borderId="0" xfId="0" applyFont="1" applyFill="1" applyAlignment="1">
      <alignment wrapText="1"/>
    </xf>
    <xf numFmtId="0" fontId="2" fillId="7" borderId="0" xfId="0" applyFont="1" applyFill="1" applyAlignment="1">
      <alignment horizontal="center" vertical="center"/>
    </xf>
    <xf numFmtId="0" fontId="4" fillId="7" borderId="0" xfId="0" applyFont="1" applyFill="1"/>
    <xf numFmtId="0" fontId="4" fillId="7" borderId="0" xfId="0" applyFont="1" applyFill="1" applyAlignment="1">
      <alignment horizontal="right" vertical="top"/>
    </xf>
    <xf numFmtId="0" fontId="4" fillId="7" borderId="0" xfId="0" applyFont="1" applyFill="1" applyAlignment="1">
      <alignment horizontal="center" vertical="center"/>
    </xf>
    <xf numFmtId="0" fontId="2" fillId="7" borderId="0" xfId="0" applyFont="1" applyFill="1"/>
    <xf numFmtId="0" fontId="3" fillId="7" borderId="0" xfId="0" applyFont="1" applyFill="1" applyAlignment="1">
      <alignment wrapText="1"/>
    </xf>
    <xf numFmtId="0" fontId="2" fillId="7" borderId="0" xfId="0" applyFont="1" applyFill="1" applyAlignment="1">
      <alignment horizontal="center" vertical="center" wrapText="1"/>
    </xf>
    <xf numFmtId="1" fontId="3" fillId="0" borderId="1" xfId="1" applyNumberFormat="1" applyFont="1" applyFill="1" applyBorder="1" applyAlignment="1">
      <alignment horizontal="center" vertical="center" wrapText="1"/>
    </xf>
    <xf numFmtId="0" fontId="4" fillId="0" borderId="0" xfId="0" applyFont="1"/>
    <xf numFmtId="0" fontId="2" fillId="0" borderId="1" xfId="0" applyFont="1" applyBorder="1" applyAlignment="1">
      <alignment horizontal="center" vertical="center" wrapText="1"/>
    </xf>
    <xf numFmtId="1" fontId="0" fillId="0" borderId="0" xfId="0" applyNumberFormat="1"/>
    <xf numFmtId="0" fontId="8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top" wrapText="1"/>
    </xf>
    <xf numFmtId="0" fontId="13" fillId="0" borderId="0" xfId="0" applyFont="1"/>
    <xf numFmtId="0" fontId="14" fillId="0" borderId="2" xfId="0" applyFont="1" applyBorder="1" applyAlignment="1">
      <alignment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wrapText="1"/>
    </xf>
    <xf numFmtId="0" fontId="13" fillId="0" borderId="0" xfId="0" applyFont="1" applyAlignment="1">
      <alignment horizontal="center" vertical="center"/>
    </xf>
    <xf numFmtId="0" fontId="14" fillId="8" borderId="2" xfId="0" applyFont="1" applyFill="1" applyBorder="1" applyAlignment="1">
      <alignment vertical="center" wrapText="1"/>
    </xf>
    <xf numFmtId="0" fontId="16" fillId="0" borderId="0" xfId="0" applyFont="1" applyAlignment="1">
      <alignment horizontal="left" vertical="center"/>
    </xf>
    <xf numFmtId="0" fontId="16" fillId="9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0" borderId="0" xfId="0" applyFont="1"/>
    <xf numFmtId="0" fontId="17" fillId="7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0" fontId="15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right" vertical="top"/>
    </xf>
    <xf numFmtId="0" fontId="9" fillId="6" borderId="0" xfId="0" applyFont="1" applyFill="1"/>
    <xf numFmtId="0" fontId="2" fillId="6" borderId="0" xfId="0" applyFont="1" applyFill="1"/>
    <xf numFmtId="0" fontId="9" fillId="3" borderId="0" xfId="0" applyFont="1" applyFill="1"/>
    <xf numFmtId="0" fontId="2" fillId="3" borderId="0" xfId="0" applyFont="1" applyFill="1"/>
    <xf numFmtId="0" fontId="9" fillId="3" borderId="0" xfId="0" applyFont="1" applyFill="1" applyAlignment="1">
      <alignment horizontal="right" vertical="top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1" fontId="2" fillId="0" borderId="1" xfId="1" applyNumberFormat="1" applyFont="1" applyFill="1" applyBorder="1" applyAlignment="1">
      <alignment horizontal="center" vertical="center" wrapText="1"/>
    </xf>
    <xf numFmtId="9" fontId="2" fillId="0" borderId="0" xfId="1" applyFont="1" applyFill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1" fontId="2" fillId="5" borderId="1" xfId="0" applyNumberFormat="1" applyFont="1" applyFill="1" applyBorder="1" applyAlignment="1">
      <alignment horizontal="center" vertical="center" wrapText="1"/>
    </xf>
    <xf numFmtId="1" fontId="2" fillId="5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wrapText="1"/>
    </xf>
    <xf numFmtId="0" fontId="12" fillId="0" borderId="1" xfId="0" applyFont="1" applyBorder="1" applyAlignment="1">
      <alignment vertical="top" wrapText="1"/>
    </xf>
    <xf numFmtId="0" fontId="3" fillId="3" borderId="0" xfId="0" applyFont="1" applyFill="1" applyAlignment="1">
      <alignment wrapText="1"/>
    </xf>
    <xf numFmtId="0" fontId="2" fillId="2" borderId="1" xfId="0" applyFont="1" applyFill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0" fontId="0" fillId="0" borderId="0" xfId="0" applyNumberFormat="1"/>
  </cellXfs>
  <cellStyles count="4">
    <cellStyle name="Обычный" xfId="0" builtinId="0"/>
    <cellStyle name="Обычный 2" xfId="2" xr:uid="{00000000-0005-0000-0000-000001000000}"/>
    <cellStyle name="Обычный 3" xfId="3" xr:uid="{7B047C26-ECB5-43E6-B828-C12F9D83773E}"/>
    <cellStyle name="Процентный" xfId="1" builtinId="5"/>
  </cellStyles>
  <dxfs count="0"/>
  <tableStyles count="0" defaultTableStyle="TableStyleMedium2" defaultPivotStyle="PivotStyleLight16"/>
  <colors>
    <mruColors>
      <color rgb="FFF987E1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47625</xdr:rowOff>
        </xdr:from>
        <xdr:to>
          <xdr:col>1</xdr:col>
          <xdr:colOff>1409700</xdr:colOff>
          <xdr:row>2</xdr:row>
          <xdr:rowOff>238125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отчет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F442"/>
  <sheetViews>
    <sheetView zoomScale="72" zoomScaleNormal="72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C442" sqref="C2:C442"/>
    </sheetView>
  </sheetViews>
  <sheetFormatPr defaultColWidth="12.7109375" defaultRowHeight="15.75" customHeight="1" x14ac:dyDescent="0.25"/>
  <cols>
    <col min="1" max="6" width="12.7109375" customWidth="1"/>
  </cols>
  <sheetData>
    <row r="1" spans="1:6" ht="15" x14ac:dyDescent="0.25">
      <c r="A1" t="s">
        <v>279</v>
      </c>
      <c r="B1" t="s">
        <v>280</v>
      </c>
      <c r="C1" t="s">
        <v>281</v>
      </c>
      <c r="D1" t="s">
        <v>282</v>
      </c>
      <c r="E1" t="s">
        <v>283</v>
      </c>
      <c r="F1" t="s">
        <v>284</v>
      </c>
    </row>
    <row r="2" spans="1:6" ht="15" x14ac:dyDescent="0.25">
      <c r="A2" t="s">
        <v>660</v>
      </c>
      <c r="B2" t="s">
        <v>670</v>
      </c>
      <c r="C2" s="88">
        <v>0</v>
      </c>
      <c r="D2" t="s">
        <v>282</v>
      </c>
      <c r="E2" t="s">
        <v>688</v>
      </c>
      <c r="F2" t="s">
        <v>291</v>
      </c>
    </row>
    <row r="3" spans="1:6" ht="15" x14ac:dyDescent="0.25">
      <c r="A3" t="s">
        <v>660</v>
      </c>
      <c r="B3" t="s">
        <v>671</v>
      </c>
      <c r="C3" s="88">
        <v>0</v>
      </c>
      <c r="D3" t="s">
        <v>282</v>
      </c>
      <c r="E3" t="s">
        <v>689</v>
      </c>
      <c r="F3" t="s">
        <v>291</v>
      </c>
    </row>
    <row r="4" spans="1:6" ht="15" x14ac:dyDescent="0.25">
      <c r="A4" t="s">
        <v>660</v>
      </c>
      <c r="B4" t="s">
        <v>665</v>
      </c>
      <c r="C4" s="88">
        <v>0</v>
      </c>
      <c r="D4" t="s">
        <v>282</v>
      </c>
      <c r="E4" t="s">
        <v>747</v>
      </c>
      <c r="F4" t="s">
        <v>291</v>
      </c>
    </row>
    <row r="5" spans="1:6" ht="15" x14ac:dyDescent="0.25">
      <c r="A5" t="s">
        <v>660</v>
      </c>
      <c r="B5" t="s">
        <v>667</v>
      </c>
      <c r="C5" s="88">
        <v>0</v>
      </c>
      <c r="D5" t="s">
        <v>282</v>
      </c>
      <c r="E5" t="s">
        <v>748</v>
      </c>
      <c r="F5" t="s">
        <v>291</v>
      </c>
    </row>
    <row r="6" spans="1:6" ht="15" x14ac:dyDescent="0.25">
      <c r="A6" t="s">
        <v>650</v>
      </c>
      <c r="B6" t="s">
        <v>111</v>
      </c>
      <c r="C6" s="88">
        <v>2</v>
      </c>
      <c r="D6" t="s">
        <v>282</v>
      </c>
      <c r="E6" t="s">
        <v>285</v>
      </c>
      <c r="F6" t="s">
        <v>866</v>
      </c>
    </row>
    <row r="7" spans="1:6" ht="15" x14ac:dyDescent="0.25">
      <c r="A7" t="s">
        <v>650</v>
      </c>
      <c r="B7" t="s">
        <v>91</v>
      </c>
      <c r="C7" s="88">
        <v>2</v>
      </c>
      <c r="D7" t="s">
        <v>282</v>
      </c>
      <c r="E7" t="s">
        <v>608</v>
      </c>
      <c r="F7" t="s">
        <v>848</v>
      </c>
    </row>
    <row r="8" spans="1:6" ht="15" x14ac:dyDescent="0.25">
      <c r="A8" t="s">
        <v>650</v>
      </c>
      <c r="B8" t="s">
        <v>289</v>
      </c>
      <c r="C8" s="88">
        <v>2</v>
      </c>
      <c r="D8" t="s">
        <v>282</v>
      </c>
      <c r="E8" t="s">
        <v>651</v>
      </c>
      <c r="F8" t="s">
        <v>314</v>
      </c>
    </row>
    <row r="9" spans="1:6" ht="15" x14ac:dyDescent="0.25">
      <c r="A9" t="s">
        <v>650</v>
      </c>
      <c r="B9" t="s">
        <v>80</v>
      </c>
      <c r="C9" s="88">
        <v>0</v>
      </c>
      <c r="D9" t="s">
        <v>282</v>
      </c>
      <c r="E9" t="s">
        <v>287</v>
      </c>
      <c r="F9" t="s">
        <v>918</v>
      </c>
    </row>
    <row r="10" spans="1:6" ht="15" x14ac:dyDescent="0.25">
      <c r="A10" t="s">
        <v>650</v>
      </c>
      <c r="B10" t="s">
        <v>80</v>
      </c>
      <c r="C10" s="88">
        <v>0</v>
      </c>
      <c r="D10" t="s">
        <v>282</v>
      </c>
      <c r="E10" t="s">
        <v>288</v>
      </c>
      <c r="F10" t="s">
        <v>900</v>
      </c>
    </row>
    <row r="11" spans="1:6" ht="15" x14ac:dyDescent="0.25">
      <c r="A11" t="s">
        <v>650</v>
      </c>
      <c r="B11" t="s">
        <v>289</v>
      </c>
      <c r="C11" s="88">
        <v>0</v>
      </c>
      <c r="D11" t="s">
        <v>282</v>
      </c>
      <c r="E11" t="s">
        <v>290</v>
      </c>
      <c r="F11" t="s">
        <v>291</v>
      </c>
    </row>
    <row r="12" spans="1:6" ht="15" x14ac:dyDescent="0.25">
      <c r="A12" t="s">
        <v>650</v>
      </c>
      <c r="B12" t="s">
        <v>106</v>
      </c>
      <c r="C12" s="88">
        <v>1</v>
      </c>
      <c r="D12" t="s">
        <v>282</v>
      </c>
      <c r="E12" t="s">
        <v>292</v>
      </c>
      <c r="F12" t="s">
        <v>293</v>
      </c>
    </row>
    <row r="13" spans="1:6" ht="15" x14ac:dyDescent="0.25">
      <c r="A13" t="s">
        <v>650</v>
      </c>
      <c r="B13" t="s">
        <v>75</v>
      </c>
      <c r="C13" s="88">
        <v>2</v>
      </c>
      <c r="D13" t="s">
        <v>282</v>
      </c>
      <c r="E13" t="s">
        <v>294</v>
      </c>
      <c r="F13" t="s">
        <v>869</v>
      </c>
    </row>
    <row r="14" spans="1:6" ht="15" x14ac:dyDescent="0.25">
      <c r="A14" t="s">
        <v>650</v>
      </c>
      <c r="B14" t="s">
        <v>111</v>
      </c>
      <c r="C14" s="88">
        <v>2</v>
      </c>
      <c r="D14" t="s">
        <v>282</v>
      </c>
      <c r="E14" t="s">
        <v>609</v>
      </c>
      <c r="F14" t="s">
        <v>870</v>
      </c>
    </row>
    <row r="15" spans="1:6" ht="15" x14ac:dyDescent="0.25">
      <c r="A15" t="s">
        <v>650</v>
      </c>
      <c r="B15" t="s">
        <v>112</v>
      </c>
      <c r="C15" s="88">
        <v>2</v>
      </c>
      <c r="D15" t="s">
        <v>282</v>
      </c>
      <c r="E15" t="s">
        <v>295</v>
      </c>
      <c r="F15" t="s">
        <v>892</v>
      </c>
    </row>
    <row r="16" spans="1:6" ht="15" x14ac:dyDescent="0.25">
      <c r="A16" t="s">
        <v>650</v>
      </c>
      <c r="B16" t="s">
        <v>112</v>
      </c>
      <c r="C16" s="88">
        <v>2</v>
      </c>
      <c r="D16" t="s">
        <v>282</v>
      </c>
      <c r="E16" t="s">
        <v>610</v>
      </c>
      <c r="F16" t="s">
        <v>812</v>
      </c>
    </row>
    <row r="17" spans="1:6" ht="15" x14ac:dyDescent="0.25">
      <c r="A17" t="s">
        <v>650</v>
      </c>
      <c r="B17" t="s">
        <v>117</v>
      </c>
      <c r="C17" s="88">
        <v>1</v>
      </c>
      <c r="D17" t="s">
        <v>282</v>
      </c>
      <c r="E17" t="s">
        <v>298</v>
      </c>
      <c r="F17" t="s">
        <v>293</v>
      </c>
    </row>
    <row r="18" spans="1:6" ht="15" x14ac:dyDescent="0.25">
      <c r="A18" t="s">
        <v>650</v>
      </c>
      <c r="B18" t="s">
        <v>117</v>
      </c>
      <c r="C18" s="88">
        <v>0</v>
      </c>
      <c r="D18" t="s">
        <v>282</v>
      </c>
      <c r="E18" t="s">
        <v>299</v>
      </c>
      <c r="F18" t="s">
        <v>850</v>
      </c>
    </row>
    <row r="19" spans="1:6" ht="15" x14ac:dyDescent="0.25">
      <c r="A19" t="s">
        <v>650</v>
      </c>
      <c r="B19" t="s">
        <v>300</v>
      </c>
      <c r="C19" s="88">
        <v>2</v>
      </c>
      <c r="D19" t="s">
        <v>282</v>
      </c>
      <c r="E19" t="s">
        <v>301</v>
      </c>
      <c r="F19" t="s">
        <v>919</v>
      </c>
    </row>
    <row r="20" spans="1:6" ht="15" x14ac:dyDescent="0.25">
      <c r="A20" t="s">
        <v>650</v>
      </c>
      <c r="B20" t="s">
        <v>300</v>
      </c>
      <c r="C20" s="88">
        <v>2</v>
      </c>
      <c r="D20" t="s">
        <v>282</v>
      </c>
      <c r="E20" t="s">
        <v>302</v>
      </c>
      <c r="F20" t="s">
        <v>851</v>
      </c>
    </row>
    <row r="21" spans="1:6" ht="15" x14ac:dyDescent="0.25">
      <c r="A21" t="s">
        <v>650</v>
      </c>
      <c r="B21" t="s">
        <v>304</v>
      </c>
      <c r="C21" s="88">
        <v>0</v>
      </c>
      <c r="D21" t="s">
        <v>282</v>
      </c>
      <c r="E21" t="s">
        <v>303</v>
      </c>
      <c r="F21" t="s">
        <v>810</v>
      </c>
    </row>
    <row r="22" spans="1:6" ht="15" x14ac:dyDescent="0.25">
      <c r="A22" t="s">
        <v>650</v>
      </c>
      <c r="B22" t="s">
        <v>304</v>
      </c>
      <c r="C22" s="88">
        <v>0</v>
      </c>
      <c r="D22" t="s">
        <v>282</v>
      </c>
      <c r="E22" t="s">
        <v>305</v>
      </c>
      <c r="F22" t="s">
        <v>872</v>
      </c>
    </row>
    <row r="23" spans="1:6" ht="15" x14ac:dyDescent="0.25">
      <c r="A23" t="s">
        <v>650</v>
      </c>
      <c r="B23" t="s">
        <v>306</v>
      </c>
      <c r="C23" s="88">
        <v>1</v>
      </c>
      <c r="D23" t="s">
        <v>282</v>
      </c>
      <c r="E23" t="s">
        <v>307</v>
      </c>
      <c r="F23" t="s">
        <v>920</v>
      </c>
    </row>
    <row r="24" spans="1:6" ht="15" x14ac:dyDescent="0.25">
      <c r="A24" t="s">
        <v>650</v>
      </c>
      <c r="B24" t="s">
        <v>306</v>
      </c>
      <c r="C24" s="88">
        <v>1</v>
      </c>
      <c r="D24" t="s">
        <v>282</v>
      </c>
      <c r="E24" t="s">
        <v>308</v>
      </c>
      <c r="F24" t="s">
        <v>852</v>
      </c>
    </row>
    <row r="25" spans="1:6" ht="15" x14ac:dyDescent="0.25">
      <c r="A25" t="s">
        <v>650</v>
      </c>
      <c r="B25" t="s">
        <v>129</v>
      </c>
      <c r="C25" s="88">
        <v>0</v>
      </c>
      <c r="D25" t="s">
        <v>282</v>
      </c>
      <c r="E25" t="s">
        <v>309</v>
      </c>
      <c r="F25" t="s">
        <v>901</v>
      </c>
    </row>
    <row r="26" spans="1:6" ht="15" x14ac:dyDescent="0.25">
      <c r="A26" t="s">
        <v>650</v>
      </c>
      <c r="B26" t="s">
        <v>131</v>
      </c>
      <c r="C26" s="88">
        <v>1</v>
      </c>
      <c r="D26" t="s">
        <v>282</v>
      </c>
      <c r="E26" t="s">
        <v>310</v>
      </c>
      <c r="F26" t="s">
        <v>293</v>
      </c>
    </row>
    <row r="27" spans="1:6" ht="15" x14ac:dyDescent="0.25">
      <c r="A27" t="s">
        <v>650</v>
      </c>
      <c r="B27" t="s">
        <v>131</v>
      </c>
      <c r="C27" s="88">
        <v>2</v>
      </c>
      <c r="D27" t="s">
        <v>282</v>
      </c>
      <c r="E27" t="s">
        <v>612</v>
      </c>
      <c r="F27" t="s">
        <v>853</v>
      </c>
    </row>
    <row r="28" spans="1:6" ht="15" x14ac:dyDescent="0.25">
      <c r="A28" t="s">
        <v>650</v>
      </c>
      <c r="B28" t="s">
        <v>311</v>
      </c>
      <c r="C28" s="88">
        <v>0</v>
      </c>
      <c r="D28" t="s">
        <v>282</v>
      </c>
      <c r="E28" t="s">
        <v>312</v>
      </c>
      <c r="F28" t="s">
        <v>871</v>
      </c>
    </row>
    <row r="29" spans="1:6" ht="15" x14ac:dyDescent="0.25">
      <c r="A29" t="s">
        <v>650</v>
      </c>
      <c r="B29" t="s">
        <v>289</v>
      </c>
      <c r="C29" s="88">
        <v>2</v>
      </c>
      <c r="D29" t="s">
        <v>282</v>
      </c>
      <c r="E29" t="s">
        <v>313</v>
      </c>
      <c r="F29" t="s">
        <v>291</v>
      </c>
    </row>
    <row r="30" spans="1:6" ht="15" x14ac:dyDescent="0.25">
      <c r="A30" t="s">
        <v>650</v>
      </c>
      <c r="B30" t="s">
        <v>91</v>
      </c>
      <c r="C30" s="88">
        <v>1</v>
      </c>
      <c r="D30" t="s">
        <v>282</v>
      </c>
      <c r="E30" t="s">
        <v>315</v>
      </c>
      <c r="F30" t="s">
        <v>899</v>
      </c>
    </row>
    <row r="31" spans="1:6" ht="15" x14ac:dyDescent="0.25">
      <c r="A31" t="s">
        <v>650</v>
      </c>
      <c r="B31" t="s">
        <v>106</v>
      </c>
      <c r="C31" s="88">
        <v>2</v>
      </c>
      <c r="D31" t="s">
        <v>282</v>
      </c>
      <c r="E31" t="s">
        <v>321</v>
      </c>
      <c r="F31" t="s">
        <v>824</v>
      </c>
    </row>
    <row r="32" spans="1:6" ht="15" x14ac:dyDescent="0.25">
      <c r="A32" t="s">
        <v>650</v>
      </c>
      <c r="B32" t="s">
        <v>75</v>
      </c>
      <c r="C32" s="88">
        <v>2</v>
      </c>
      <c r="D32" t="s">
        <v>282</v>
      </c>
      <c r="E32" t="s">
        <v>322</v>
      </c>
      <c r="F32" t="s">
        <v>902</v>
      </c>
    </row>
    <row r="33" spans="1:6" ht="15" x14ac:dyDescent="0.25">
      <c r="A33" t="s">
        <v>650</v>
      </c>
      <c r="B33" t="s">
        <v>111</v>
      </c>
      <c r="C33" s="88">
        <v>0</v>
      </c>
      <c r="D33" t="s">
        <v>282</v>
      </c>
      <c r="E33" t="s">
        <v>323</v>
      </c>
      <c r="F33" t="s">
        <v>921</v>
      </c>
    </row>
    <row r="34" spans="1:6" ht="15" x14ac:dyDescent="0.25">
      <c r="A34" t="s">
        <v>650</v>
      </c>
      <c r="B34" t="s">
        <v>111</v>
      </c>
      <c r="C34" s="88">
        <v>2</v>
      </c>
      <c r="D34" t="s">
        <v>282</v>
      </c>
      <c r="E34" t="s">
        <v>613</v>
      </c>
      <c r="F34" t="s">
        <v>886</v>
      </c>
    </row>
    <row r="35" spans="1:6" ht="15" x14ac:dyDescent="0.25">
      <c r="A35" t="s">
        <v>650</v>
      </c>
      <c r="B35" t="s">
        <v>112</v>
      </c>
      <c r="C35" s="88">
        <v>1</v>
      </c>
      <c r="D35" t="s">
        <v>282</v>
      </c>
      <c r="E35" t="s">
        <v>324</v>
      </c>
      <c r="F35" t="s">
        <v>293</v>
      </c>
    </row>
    <row r="36" spans="1:6" ht="15" x14ac:dyDescent="0.25">
      <c r="A36" t="s">
        <v>650</v>
      </c>
      <c r="B36" t="s">
        <v>325</v>
      </c>
      <c r="C36" s="88">
        <v>1</v>
      </c>
      <c r="D36" t="s">
        <v>282</v>
      </c>
      <c r="E36" t="s">
        <v>326</v>
      </c>
      <c r="F36" t="s">
        <v>424</v>
      </c>
    </row>
    <row r="37" spans="1:6" ht="15" x14ac:dyDescent="0.25">
      <c r="A37" t="s">
        <v>650</v>
      </c>
      <c r="B37" t="s">
        <v>117</v>
      </c>
      <c r="C37" s="88">
        <v>0</v>
      </c>
      <c r="D37" t="s">
        <v>282</v>
      </c>
      <c r="E37" t="s">
        <v>614</v>
      </c>
      <c r="F37" t="s">
        <v>846</v>
      </c>
    </row>
    <row r="38" spans="1:6" ht="15" x14ac:dyDescent="0.25">
      <c r="A38" t="s">
        <v>650</v>
      </c>
      <c r="B38" t="s">
        <v>300</v>
      </c>
      <c r="C38" s="88">
        <v>0</v>
      </c>
      <c r="D38" t="s">
        <v>282</v>
      </c>
      <c r="E38" t="s">
        <v>328</v>
      </c>
      <c r="F38" t="s">
        <v>329</v>
      </c>
    </row>
    <row r="39" spans="1:6" ht="15" x14ac:dyDescent="0.25">
      <c r="A39" t="s">
        <v>650</v>
      </c>
      <c r="B39" t="s">
        <v>300</v>
      </c>
      <c r="C39" s="88">
        <v>2</v>
      </c>
      <c r="D39" t="s">
        <v>282</v>
      </c>
      <c r="E39" t="s">
        <v>330</v>
      </c>
      <c r="F39" t="s">
        <v>658</v>
      </c>
    </row>
    <row r="40" spans="1:6" ht="15" x14ac:dyDescent="0.25">
      <c r="A40" t="s">
        <v>650</v>
      </c>
      <c r="B40" t="s">
        <v>304</v>
      </c>
      <c r="C40" s="88">
        <v>2</v>
      </c>
      <c r="D40" t="s">
        <v>282</v>
      </c>
      <c r="E40" t="s">
        <v>331</v>
      </c>
      <c r="F40" t="s">
        <v>658</v>
      </c>
    </row>
    <row r="41" spans="1:6" ht="15" x14ac:dyDescent="0.25">
      <c r="A41" t="s">
        <v>650</v>
      </c>
      <c r="B41" t="s">
        <v>304</v>
      </c>
      <c r="C41" s="88">
        <v>0</v>
      </c>
      <c r="D41" t="s">
        <v>282</v>
      </c>
      <c r="E41" t="s">
        <v>615</v>
      </c>
      <c r="F41" t="s">
        <v>887</v>
      </c>
    </row>
    <row r="42" spans="1:6" ht="15" x14ac:dyDescent="0.25">
      <c r="A42" t="s">
        <v>650</v>
      </c>
      <c r="B42" t="s">
        <v>306</v>
      </c>
      <c r="C42" s="88">
        <v>0</v>
      </c>
      <c r="D42" t="s">
        <v>282</v>
      </c>
      <c r="E42" t="s">
        <v>332</v>
      </c>
      <c r="F42" t="s">
        <v>814</v>
      </c>
    </row>
    <row r="43" spans="1:6" ht="15" x14ac:dyDescent="0.25">
      <c r="A43" t="s">
        <v>650</v>
      </c>
      <c r="B43" t="s">
        <v>131</v>
      </c>
      <c r="C43" s="88">
        <v>2</v>
      </c>
      <c r="D43" t="s">
        <v>282</v>
      </c>
      <c r="E43" t="s">
        <v>334</v>
      </c>
      <c r="F43" t="s">
        <v>893</v>
      </c>
    </row>
    <row r="44" spans="1:6" ht="15" x14ac:dyDescent="0.25">
      <c r="A44" t="s">
        <v>650</v>
      </c>
      <c r="B44" t="s">
        <v>311</v>
      </c>
      <c r="C44" s="88">
        <v>0</v>
      </c>
      <c r="D44" t="s">
        <v>282</v>
      </c>
      <c r="E44" t="s">
        <v>335</v>
      </c>
      <c r="F44" t="s">
        <v>810</v>
      </c>
    </row>
    <row r="45" spans="1:6" ht="15" x14ac:dyDescent="0.25">
      <c r="A45" t="s">
        <v>650</v>
      </c>
      <c r="B45" t="s">
        <v>311</v>
      </c>
      <c r="C45" s="88">
        <v>2</v>
      </c>
      <c r="D45" t="s">
        <v>282</v>
      </c>
      <c r="E45" t="s">
        <v>336</v>
      </c>
      <c r="F45" t="s">
        <v>911</v>
      </c>
    </row>
    <row r="46" spans="1:6" ht="15" x14ac:dyDescent="0.25">
      <c r="A46" t="s">
        <v>650</v>
      </c>
      <c r="B46" t="s">
        <v>91</v>
      </c>
      <c r="C46" s="88">
        <v>2</v>
      </c>
      <c r="D46" t="s">
        <v>282</v>
      </c>
      <c r="E46" t="s">
        <v>337</v>
      </c>
      <c r="F46" t="s">
        <v>903</v>
      </c>
    </row>
    <row r="47" spans="1:6" ht="15" x14ac:dyDescent="0.25">
      <c r="A47" t="s">
        <v>650</v>
      </c>
      <c r="B47" t="s">
        <v>91</v>
      </c>
      <c r="C47" s="88">
        <v>0</v>
      </c>
      <c r="D47" t="s">
        <v>282</v>
      </c>
      <c r="E47" t="s">
        <v>652</v>
      </c>
      <c r="F47" t="s">
        <v>922</v>
      </c>
    </row>
    <row r="48" spans="1:6" ht="15" x14ac:dyDescent="0.25">
      <c r="A48" t="s">
        <v>650</v>
      </c>
      <c r="B48" t="s">
        <v>99</v>
      </c>
      <c r="C48" s="88">
        <v>1</v>
      </c>
      <c r="D48" t="s">
        <v>282</v>
      </c>
      <c r="E48" t="s">
        <v>338</v>
      </c>
      <c r="F48" t="s">
        <v>825</v>
      </c>
    </row>
    <row r="49" spans="1:6" ht="15" x14ac:dyDescent="0.25">
      <c r="A49" t="s">
        <v>650</v>
      </c>
      <c r="B49" t="s">
        <v>80</v>
      </c>
      <c r="C49" s="88">
        <v>0</v>
      </c>
      <c r="D49" t="s">
        <v>282</v>
      </c>
      <c r="E49" t="s">
        <v>339</v>
      </c>
      <c r="F49" t="s">
        <v>923</v>
      </c>
    </row>
    <row r="50" spans="1:6" ht="15" x14ac:dyDescent="0.25">
      <c r="A50" t="s">
        <v>650</v>
      </c>
      <c r="B50" t="s">
        <v>80</v>
      </c>
      <c r="C50" s="88">
        <v>0</v>
      </c>
      <c r="D50" t="s">
        <v>282</v>
      </c>
      <c r="E50" t="s">
        <v>340</v>
      </c>
      <c r="F50" t="s">
        <v>904</v>
      </c>
    </row>
    <row r="51" spans="1:6" ht="15" x14ac:dyDescent="0.25">
      <c r="A51" t="s">
        <v>650</v>
      </c>
      <c r="B51" t="s">
        <v>289</v>
      </c>
      <c r="C51" s="88">
        <v>2</v>
      </c>
      <c r="D51" t="s">
        <v>282</v>
      </c>
      <c r="E51" t="s">
        <v>341</v>
      </c>
      <c r="F51" t="s">
        <v>314</v>
      </c>
    </row>
    <row r="52" spans="1:6" ht="15" x14ac:dyDescent="0.25">
      <c r="A52" t="s">
        <v>650</v>
      </c>
      <c r="B52" t="s">
        <v>106</v>
      </c>
      <c r="C52" s="88">
        <v>1</v>
      </c>
      <c r="D52" t="s">
        <v>282</v>
      </c>
      <c r="E52" t="s">
        <v>616</v>
      </c>
      <c r="F52" t="s">
        <v>915</v>
      </c>
    </row>
    <row r="53" spans="1:6" ht="15" x14ac:dyDescent="0.25">
      <c r="A53" t="s">
        <v>650</v>
      </c>
      <c r="B53" t="s">
        <v>111</v>
      </c>
      <c r="C53" s="88">
        <v>0</v>
      </c>
      <c r="D53" t="s">
        <v>282</v>
      </c>
      <c r="E53" t="s">
        <v>343</v>
      </c>
      <c r="F53" t="s">
        <v>329</v>
      </c>
    </row>
    <row r="54" spans="1:6" ht="15" x14ac:dyDescent="0.25">
      <c r="A54" t="s">
        <v>650</v>
      </c>
      <c r="B54" t="s">
        <v>111</v>
      </c>
      <c r="C54" s="88">
        <v>2</v>
      </c>
      <c r="D54" t="s">
        <v>282</v>
      </c>
      <c r="E54" t="s">
        <v>344</v>
      </c>
      <c r="F54" t="s">
        <v>873</v>
      </c>
    </row>
    <row r="55" spans="1:6" ht="15" x14ac:dyDescent="0.25">
      <c r="A55" t="s">
        <v>650</v>
      </c>
      <c r="B55" t="s">
        <v>325</v>
      </c>
      <c r="C55" s="88">
        <v>0</v>
      </c>
      <c r="D55" t="s">
        <v>282</v>
      </c>
      <c r="E55" t="s">
        <v>346</v>
      </c>
      <c r="F55" t="s">
        <v>874</v>
      </c>
    </row>
    <row r="56" spans="1:6" ht="15" x14ac:dyDescent="0.25">
      <c r="A56" t="s">
        <v>650</v>
      </c>
      <c r="B56" t="s">
        <v>325</v>
      </c>
      <c r="C56" s="88">
        <v>0</v>
      </c>
      <c r="D56" t="s">
        <v>282</v>
      </c>
      <c r="E56" t="s">
        <v>347</v>
      </c>
      <c r="F56" t="s">
        <v>888</v>
      </c>
    </row>
    <row r="57" spans="1:6" ht="15" x14ac:dyDescent="0.25">
      <c r="A57" t="s">
        <v>650</v>
      </c>
      <c r="B57" t="s">
        <v>117</v>
      </c>
      <c r="C57" s="88">
        <v>1</v>
      </c>
      <c r="D57" t="s">
        <v>282</v>
      </c>
      <c r="E57" t="s">
        <v>348</v>
      </c>
      <c r="F57" t="s">
        <v>293</v>
      </c>
    </row>
    <row r="58" spans="1:6" ht="15" x14ac:dyDescent="0.25">
      <c r="A58" t="s">
        <v>650</v>
      </c>
      <c r="B58" t="s">
        <v>300</v>
      </c>
      <c r="C58" s="88">
        <v>2</v>
      </c>
      <c r="D58" t="s">
        <v>282</v>
      </c>
      <c r="E58" t="s">
        <v>617</v>
      </c>
      <c r="F58" t="s">
        <v>894</v>
      </c>
    </row>
    <row r="59" spans="1:6" ht="15" x14ac:dyDescent="0.25">
      <c r="A59" t="s">
        <v>650</v>
      </c>
      <c r="B59" t="s">
        <v>300</v>
      </c>
      <c r="C59" s="88">
        <v>0</v>
      </c>
      <c r="D59" t="s">
        <v>282</v>
      </c>
      <c r="E59" t="s">
        <v>349</v>
      </c>
      <c r="F59" t="s">
        <v>924</v>
      </c>
    </row>
    <row r="60" spans="1:6" ht="15" x14ac:dyDescent="0.25">
      <c r="A60" t="s">
        <v>650</v>
      </c>
      <c r="B60" t="s">
        <v>304</v>
      </c>
      <c r="C60" s="88">
        <v>0</v>
      </c>
      <c r="D60" t="s">
        <v>282</v>
      </c>
      <c r="E60" t="s">
        <v>350</v>
      </c>
      <c r="F60" t="s">
        <v>424</v>
      </c>
    </row>
    <row r="61" spans="1:6" ht="15" x14ac:dyDescent="0.25">
      <c r="A61" t="s">
        <v>650</v>
      </c>
      <c r="B61" t="s">
        <v>304</v>
      </c>
      <c r="C61" s="88">
        <v>1</v>
      </c>
      <c r="D61" t="s">
        <v>282</v>
      </c>
      <c r="E61" t="s">
        <v>351</v>
      </c>
      <c r="F61" t="s">
        <v>293</v>
      </c>
    </row>
    <row r="62" spans="1:6" ht="15" x14ac:dyDescent="0.25">
      <c r="A62" t="s">
        <v>650</v>
      </c>
      <c r="B62" t="s">
        <v>306</v>
      </c>
      <c r="C62" s="88">
        <v>2</v>
      </c>
      <c r="D62" t="s">
        <v>282</v>
      </c>
      <c r="E62" t="s">
        <v>352</v>
      </c>
      <c r="F62" t="s">
        <v>658</v>
      </c>
    </row>
    <row r="63" spans="1:6" ht="15" x14ac:dyDescent="0.25">
      <c r="A63" t="s">
        <v>650</v>
      </c>
      <c r="B63" t="s">
        <v>129</v>
      </c>
      <c r="C63" s="88">
        <v>1</v>
      </c>
      <c r="D63" t="s">
        <v>282</v>
      </c>
      <c r="E63" t="s">
        <v>353</v>
      </c>
      <c r="F63" t="s">
        <v>293</v>
      </c>
    </row>
    <row r="64" spans="1:6" ht="15" x14ac:dyDescent="0.25">
      <c r="A64" t="s">
        <v>650</v>
      </c>
      <c r="B64" t="s">
        <v>129</v>
      </c>
      <c r="C64" s="88">
        <v>0</v>
      </c>
      <c r="D64" t="s">
        <v>282</v>
      </c>
      <c r="E64" t="s">
        <v>354</v>
      </c>
      <c r="F64" t="s">
        <v>849</v>
      </c>
    </row>
    <row r="65" spans="1:6" ht="15" x14ac:dyDescent="0.25">
      <c r="A65" t="s">
        <v>650</v>
      </c>
      <c r="B65" t="s">
        <v>131</v>
      </c>
      <c r="C65" s="88">
        <v>2</v>
      </c>
      <c r="D65" t="s">
        <v>282</v>
      </c>
      <c r="E65" t="s">
        <v>355</v>
      </c>
      <c r="F65" t="s">
        <v>329</v>
      </c>
    </row>
    <row r="66" spans="1:6" ht="15" x14ac:dyDescent="0.25">
      <c r="A66" t="s">
        <v>650</v>
      </c>
      <c r="B66" t="s">
        <v>311</v>
      </c>
      <c r="C66" s="88">
        <v>1</v>
      </c>
      <c r="D66" t="s">
        <v>282</v>
      </c>
      <c r="E66" t="s">
        <v>356</v>
      </c>
      <c r="F66" t="s">
        <v>424</v>
      </c>
    </row>
    <row r="67" spans="1:6" ht="15" x14ac:dyDescent="0.25">
      <c r="A67" t="s">
        <v>650</v>
      </c>
      <c r="B67" t="s">
        <v>311</v>
      </c>
      <c r="C67" s="88">
        <v>0</v>
      </c>
      <c r="D67" t="s">
        <v>282</v>
      </c>
      <c r="E67" t="s">
        <v>357</v>
      </c>
      <c r="F67" t="s">
        <v>329</v>
      </c>
    </row>
    <row r="68" spans="1:6" ht="15" x14ac:dyDescent="0.25">
      <c r="A68" t="s">
        <v>650</v>
      </c>
      <c r="B68" t="s">
        <v>99</v>
      </c>
      <c r="C68" s="88">
        <v>2</v>
      </c>
      <c r="D68" t="s">
        <v>282</v>
      </c>
      <c r="E68" t="s">
        <v>358</v>
      </c>
      <c r="F68" t="s">
        <v>291</v>
      </c>
    </row>
    <row r="69" spans="1:6" ht="15" x14ac:dyDescent="0.25">
      <c r="A69" t="s">
        <v>650</v>
      </c>
      <c r="B69" t="s">
        <v>99</v>
      </c>
      <c r="C69" s="88">
        <v>1</v>
      </c>
      <c r="D69" t="s">
        <v>282</v>
      </c>
      <c r="E69" t="s">
        <v>359</v>
      </c>
      <c r="F69" t="s">
        <v>925</v>
      </c>
    </row>
    <row r="70" spans="1:6" ht="15" x14ac:dyDescent="0.25">
      <c r="A70" t="s">
        <v>650</v>
      </c>
      <c r="B70" t="s">
        <v>80</v>
      </c>
      <c r="C70" s="88">
        <v>2</v>
      </c>
      <c r="D70" t="s">
        <v>282</v>
      </c>
      <c r="E70" t="s">
        <v>360</v>
      </c>
      <c r="F70" t="s">
        <v>361</v>
      </c>
    </row>
    <row r="71" spans="1:6" ht="15" x14ac:dyDescent="0.25">
      <c r="A71" t="s">
        <v>650</v>
      </c>
      <c r="B71" t="s">
        <v>106</v>
      </c>
      <c r="C71" s="88">
        <v>2</v>
      </c>
      <c r="D71" t="s">
        <v>282</v>
      </c>
      <c r="E71" t="s">
        <v>362</v>
      </c>
      <c r="F71" t="s">
        <v>361</v>
      </c>
    </row>
    <row r="72" spans="1:6" ht="15" x14ac:dyDescent="0.25">
      <c r="A72" t="s">
        <v>650</v>
      </c>
      <c r="B72" t="s">
        <v>106</v>
      </c>
      <c r="C72" s="88">
        <v>0</v>
      </c>
      <c r="D72" t="s">
        <v>282</v>
      </c>
      <c r="E72" t="s">
        <v>363</v>
      </c>
      <c r="F72" t="s">
        <v>826</v>
      </c>
    </row>
    <row r="73" spans="1:6" ht="15" x14ac:dyDescent="0.25">
      <c r="A73" t="s">
        <v>650</v>
      </c>
      <c r="B73" t="s">
        <v>75</v>
      </c>
      <c r="C73" s="88">
        <v>2</v>
      </c>
      <c r="D73" t="s">
        <v>282</v>
      </c>
      <c r="E73" t="s">
        <v>364</v>
      </c>
      <c r="F73" t="s">
        <v>912</v>
      </c>
    </row>
    <row r="74" spans="1:6" ht="15" x14ac:dyDescent="0.25">
      <c r="A74" t="s">
        <v>650</v>
      </c>
      <c r="B74" t="s">
        <v>111</v>
      </c>
      <c r="C74" s="88">
        <v>2</v>
      </c>
      <c r="D74" t="s">
        <v>282</v>
      </c>
      <c r="E74" t="s">
        <v>365</v>
      </c>
      <c r="F74" t="s">
        <v>889</v>
      </c>
    </row>
    <row r="75" spans="1:6" ht="15" x14ac:dyDescent="0.25">
      <c r="A75" t="s">
        <v>650</v>
      </c>
      <c r="B75" t="s">
        <v>112</v>
      </c>
      <c r="C75" s="88">
        <v>1</v>
      </c>
      <c r="D75" t="s">
        <v>282</v>
      </c>
      <c r="E75" t="s">
        <v>367</v>
      </c>
      <c r="F75" t="s">
        <v>293</v>
      </c>
    </row>
    <row r="76" spans="1:6" ht="15" x14ac:dyDescent="0.25">
      <c r="A76" t="s">
        <v>650</v>
      </c>
      <c r="B76" t="s">
        <v>325</v>
      </c>
      <c r="C76" s="88">
        <v>0</v>
      </c>
      <c r="D76" t="s">
        <v>282</v>
      </c>
      <c r="E76" t="s">
        <v>368</v>
      </c>
      <c r="F76" t="s">
        <v>857</v>
      </c>
    </row>
    <row r="77" spans="1:6" ht="15" x14ac:dyDescent="0.25">
      <c r="A77" t="s">
        <v>650</v>
      </c>
      <c r="B77" t="s">
        <v>325</v>
      </c>
      <c r="C77" s="88">
        <v>2</v>
      </c>
      <c r="D77" t="s">
        <v>282</v>
      </c>
      <c r="E77" t="s">
        <v>369</v>
      </c>
      <c r="F77" t="s">
        <v>361</v>
      </c>
    </row>
    <row r="78" spans="1:6" ht="15" x14ac:dyDescent="0.25">
      <c r="A78" t="s">
        <v>650</v>
      </c>
      <c r="B78" t="s">
        <v>117</v>
      </c>
      <c r="C78" s="88">
        <v>0</v>
      </c>
      <c r="D78" t="s">
        <v>282</v>
      </c>
      <c r="E78" t="s">
        <v>370</v>
      </c>
      <c r="F78" t="s">
        <v>926</v>
      </c>
    </row>
    <row r="79" spans="1:6" ht="15" x14ac:dyDescent="0.25">
      <c r="A79" t="s">
        <v>650</v>
      </c>
      <c r="B79" t="s">
        <v>289</v>
      </c>
      <c r="C79" s="88">
        <v>0</v>
      </c>
      <c r="D79" t="s">
        <v>282</v>
      </c>
      <c r="E79" t="s">
        <v>371</v>
      </c>
      <c r="F79" t="s">
        <v>658</v>
      </c>
    </row>
    <row r="80" spans="1:6" ht="15" x14ac:dyDescent="0.25">
      <c r="A80" t="s">
        <v>650</v>
      </c>
      <c r="B80" t="s">
        <v>300</v>
      </c>
      <c r="C80" s="88">
        <v>0</v>
      </c>
      <c r="D80" t="s">
        <v>282</v>
      </c>
      <c r="E80" t="s">
        <v>372</v>
      </c>
      <c r="F80" t="s">
        <v>297</v>
      </c>
    </row>
    <row r="81" spans="1:6" ht="15" x14ac:dyDescent="0.25">
      <c r="A81" t="s">
        <v>650</v>
      </c>
      <c r="B81" t="s">
        <v>304</v>
      </c>
      <c r="C81" s="88">
        <v>1</v>
      </c>
      <c r="D81" t="s">
        <v>282</v>
      </c>
      <c r="E81" t="s">
        <v>620</v>
      </c>
      <c r="F81" t="s">
        <v>293</v>
      </c>
    </row>
    <row r="82" spans="1:6" ht="15" x14ac:dyDescent="0.25">
      <c r="A82" t="s">
        <v>650</v>
      </c>
      <c r="B82" t="s">
        <v>304</v>
      </c>
      <c r="C82" s="88">
        <v>2</v>
      </c>
      <c r="D82" t="s">
        <v>282</v>
      </c>
      <c r="E82" t="s">
        <v>373</v>
      </c>
      <c r="F82" t="s">
        <v>361</v>
      </c>
    </row>
    <row r="83" spans="1:6" ht="15" x14ac:dyDescent="0.25">
      <c r="A83" t="s">
        <v>650</v>
      </c>
      <c r="B83" t="s">
        <v>129</v>
      </c>
      <c r="C83" s="88">
        <v>0</v>
      </c>
      <c r="D83" t="s">
        <v>282</v>
      </c>
      <c r="E83" t="s">
        <v>621</v>
      </c>
      <c r="F83" t="s">
        <v>909</v>
      </c>
    </row>
    <row r="84" spans="1:6" ht="15" x14ac:dyDescent="0.25">
      <c r="A84" t="s">
        <v>650</v>
      </c>
      <c r="B84" t="s">
        <v>129</v>
      </c>
      <c r="C84" s="88">
        <v>1</v>
      </c>
      <c r="D84" t="s">
        <v>282</v>
      </c>
      <c r="E84" t="s">
        <v>374</v>
      </c>
      <c r="F84" t="s">
        <v>293</v>
      </c>
    </row>
    <row r="85" spans="1:6" ht="15" x14ac:dyDescent="0.25">
      <c r="A85" t="s">
        <v>650</v>
      </c>
      <c r="B85" t="s">
        <v>131</v>
      </c>
      <c r="C85" s="88">
        <v>1</v>
      </c>
      <c r="D85" t="s">
        <v>282</v>
      </c>
      <c r="E85" t="s">
        <v>375</v>
      </c>
      <c r="F85" t="s">
        <v>293</v>
      </c>
    </row>
    <row r="86" spans="1:6" ht="15" x14ac:dyDescent="0.25">
      <c r="A86" t="s">
        <v>650</v>
      </c>
      <c r="B86" t="s">
        <v>311</v>
      </c>
      <c r="C86" s="88">
        <v>2</v>
      </c>
      <c r="D86" t="s">
        <v>282</v>
      </c>
      <c r="E86" t="s">
        <v>376</v>
      </c>
      <c r="F86" t="s">
        <v>361</v>
      </c>
    </row>
    <row r="87" spans="1:6" ht="15" x14ac:dyDescent="0.25">
      <c r="A87" t="s">
        <v>650</v>
      </c>
      <c r="B87" t="s">
        <v>311</v>
      </c>
      <c r="C87" s="88">
        <v>1</v>
      </c>
      <c r="D87" t="s">
        <v>282</v>
      </c>
      <c r="E87" t="s">
        <v>377</v>
      </c>
      <c r="F87" t="s">
        <v>293</v>
      </c>
    </row>
    <row r="88" spans="1:6" ht="15" x14ac:dyDescent="0.25">
      <c r="A88" t="s">
        <v>650</v>
      </c>
      <c r="B88" t="s">
        <v>91</v>
      </c>
      <c r="C88" s="88">
        <v>2</v>
      </c>
      <c r="D88" t="s">
        <v>282</v>
      </c>
      <c r="E88" t="s">
        <v>378</v>
      </c>
      <c r="F88" t="s">
        <v>898</v>
      </c>
    </row>
    <row r="89" spans="1:6" ht="15" x14ac:dyDescent="0.25">
      <c r="A89" t="s">
        <v>650</v>
      </c>
      <c r="B89" t="s">
        <v>99</v>
      </c>
      <c r="C89" s="88">
        <v>2</v>
      </c>
      <c r="D89" t="s">
        <v>282</v>
      </c>
      <c r="E89" t="s">
        <v>380</v>
      </c>
      <c r="F89" t="s">
        <v>859</v>
      </c>
    </row>
    <row r="90" spans="1:6" ht="15" x14ac:dyDescent="0.25">
      <c r="A90" t="s">
        <v>650</v>
      </c>
      <c r="B90" t="s">
        <v>80</v>
      </c>
      <c r="C90" s="88">
        <v>2</v>
      </c>
      <c r="D90" t="s">
        <v>282</v>
      </c>
      <c r="E90" t="s">
        <v>381</v>
      </c>
      <c r="F90" t="s">
        <v>927</v>
      </c>
    </row>
    <row r="91" spans="1:6" ht="15" x14ac:dyDescent="0.25">
      <c r="A91" t="s">
        <v>650</v>
      </c>
      <c r="B91" t="s">
        <v>106</v>
      </c>
      <c r="C91" s="88">
        <v>0</v>
      </c>
      <c r="D91" t="s">
        <v>282</v>
      </c>
      <c r="E91" t="s">
        <v>622</v>
      </c>
      <c r="F91" t="s">
        <v>928</v>
      </c>
    </row>
    <row r="92" spans="1:6" ht="15" x14ac:dyDescent="0.25">
      <c r="A92" t="s">
        <v>650</v>
      </c>
      <c r="B92" t="s">
        <v>106</v>
      </c>
      <c r="C92" s="88">
        <v>1</v>
      </c>
      <c r="D92" t="s">
        <v>282</v>
      </c>
      <c r="E92" t="s">
        <v>382</v>
      </c>
      <c r="F92" t="s">
        <v>293</v>
      </c>
    </row>
    <row r="93" spans="1:6" ht="15" x14ac:dyDescent="0.25">
      <c r="A93" t="s">
        <v>650</v>
      </c>
      <c r="B93" t="s">
        <v>111</v>
      </c>
      <c r="C93" s="88">
        <v>2</v>
      </c>
      <c r="D93" t="s">
        <v>282</v>
      </c>
      <c r="E93" t="s">
        <v>384</v>
      </c>
      <c r="F93" t="s">
        <v>329</v>
      </c>
    </row>
    <row r="94" spans="1:6" ht="15" x14ac:dyDescent="0.25">
      <c r="A94" t="s">
        <v>650</v>
      </c>
      <c r="B94" t="s">
        <v>111</v>
      </c>
      <c r="C94" s="88">
        <v>1</v>
      </c>
      <c r="D94" t="s">
        <v>282</v>
      </c>
      <c r="E94" t="s">
        <v>385</v>
      </c>
      <c r="F94" t="s">
        <v>293</v>
      </c>
    </row>
    <row r="95" spans="1:6" ht="15" x14ac:dyDescent="0.25">
      <c r="A95" t="s">
        <v>650</v>
      </c>
      <c r="B95" t="s">
        <v>112</v>
      </c>
      <c r="C95" s="88">
        <v>2</v>
      </c>
      <c r="D95" t="s">
        <v>282</v>
      </c>
      <c r="E95" t="s">
        <v>378</v>
      </c>
      <c r="F95" t="s">
        <v>910</v>
      </c>
    </row>
    <row r="96" spans="1:6" ht="15" x14ac:dyDescent="0.25">
      <c r="A96" t="s">
        <v>650</v>
      </c>
      <c r="B96" t="s">
        <v>289</v>
      </c>
      <c r="C96" s="88">
        <v>0</v>
      </c>
      <c r="D96" t="s">
        <v>282</v>
      </c>
      <c r="E96" t="s">
        <v>386</v>
      </c>
      <c r="F96" t="s">
        <v>291</v>
      </c>
    </row>
    <row r="97" spans="1:6" ht="15" x14ac:dyDescent="0.25">
      <c r="A97" t="s">
        <v>650</v>
      </c>
      <c r="B97" t="s">
        <v>325</v>
      </c>
      <c r="C97" s="88">
        <v>0</v>
      </c>
      <c r="D97" t="s">
        <v>282</v>
      </c>
      <c r="E97" t="s">
        <v>387</v>
      </c>
      <c r="F97" t="s">
        <v>929</v>
      </c>
    </row>
    <row r="98" spans="1:6" ht="15" x14ac:dyDescent="0.25">
      <c r="A98" t="s">
        <v>650</v>
      </c>
      <c r="B98" t="s">
        <v>117</v>
      </c>
      <c r="C98" s="88">
        <v>0</v>
      </c>
      <c r="D98" t="s">
        <v>282</v>
      </c>
      <c r="E98" t="s">
        <v>390</v>
      </c>
      <c r="F98" t="s">
        <v>930</v>
      </c>
    </row>
    <row r="99" spans="1:6" ht="15" x14ac:dyDescent="0.25">
      <c r="A99" t="s">
        <v>650</v>
      </c>
      <c r="B99" t="s">
        <v>300</v>
      </c>
      <c r="C99" s="88">
        <v>0</v>
      </c>
      <c r="D99" t="s">
        <v>282</v>
      </c>
      <c r="E99" t="s">
        <v>391</v>
      </c>
      <c r="F99" t="s">
        <v>858</v>
      </c>
    </row>
    <row r="100" spans="1:6" ht="15" x14ac:dyDescent="0.25">
      <c r="A100" t="s">
        <v>650</v>
      </c>
      <c r="B100" t="s">
        <v>304</v>
      </c>
      <c r="C100" s="88">
        <v>1</v>
      </c>
      <c r="D100" t="s">
        <v>282</v>
      </c>
      <c r="E100" t="s">
        <v>392</v>
      </c>
      <c r="F100" t="s">
        <v>905</v>
      </c>
    </row>
    <row r="101" spans="1:6" ht="15" x14ac:dyDescent="0.25">
      <c r="A101" t="s">
        <v>650</v>
      </c>
      <c r="B101" t="s">
        <v>304</v>
      </c>
      <c r="C101" s="88">
        <v>0</v>
      </c>
      <c r="D101" t="s">
        <v>282</v>
      </c>
      <c r="E101" t="s">
        <v>393</v>
      </c>
      <c r="F101" t="s">
        <v>659</v>
      </c>
    </row>
    <row r="102" spans="1:6" ht="15" x14ac:dyDescent="0.25">
      <c r="A102" t="s">
        <v>650</v>
      </c>
      <c r="B102" t="s">
        <v>306</v>
      </c>
      <c r="C102" s="88">
        <v>0</v>
      </c>
      <c r="D102" t="s">
        <v>282</v>
      </c>
      <c r="E102" t="s">
        <v>623</v>
      </c>
      <c r="F102" t="s">
        <v>876</v>
      </c>
    </row>
    <row r="103" spans="1:6" ht="15" x14ac:dyDescent="0.25">
      <c r="A103" t="s">
        <v>650</v>
      </c>
      <c r="B103" t="s">
        <v>129</v>
      </c>
      <c r="C103" s="88">
        <v>1</v>
      </c>
      <c r="D103" t="s">
        <v>282</v>
      </c>
      <c r="E103" t="s">
        <v>394</v>
      </c>
      <c r="F103" t="s">
        <v>913</v>
      </c>
    </row>
    <row r="104" spans="1:6" ht="15" x14ac:dyDescent="0.25">
      <c r="A104" t="s">
        <v>650</v>
      </c>
      <c r="B104" t="s">
        <v>129</v>
      </c>
      <c r="C104" s="88">
        <v>0</v>
      </c>
      <c r="D104" t="s">
        <v>282</v>
      </c>
      <c r="E104" t="s">
        <v>395</v>
      </c>
      <c r="F104" t="s">
        <v>877</v>
      </c>
    </row>
    <row r="105" spans="1:6" ht="15" x14ac:dyDescent="0.25">
      <c r="A105" t="s">
        <v>650</v>
      </c>
      <c r="B105" t="s">
        <v>131</v>
      </c>
      <c r="C105" s="88">
        <v>2</v>
      </c>
      <c r="D105" t="s">
        <v>282</v>
      </c>
      <c r="E105" t="s">
        <v>396</v>
      </c>
      <c r="F105" t="s">
        <v>448</v>
      </c>
    </row>
    <row r="106" spans="1:6" ht="15" x14ac:dyDescent="0.25">
      <c r="A106" t="s">
        <v>650</v>
      </c>
      <c r="B106" t="s">
        <v>311</v>
      </c>
      <c r="C106" s="88">
        <v>0</v>
      </c>
      <c r="D106" t="s">
        <v>282</v>
      </c>
      <c r="E106" t="s">
        <v>397</v>
      </c>
      <c r="F106" t="s">
        <v>659</v>
      </c>
    </row>
    <row r="107" spans="1:6" ht="15" x14ac:dyDescent="0.25">
      <c r="A107" t="s">
        <v>650</v>
      </c>
      <c r="B107" t="s">
        <v>91</v>
      </c>
      <c r="C107" s="88">
        <v>1</v>
      </c>
      <c r="D107" t="s">
        <v>282</v>
      </c>
      <c r="E107" t="s">
        <v>398</v>
      </c>
      <c r="F107" t="s">
        <v>293</v>
      </c>
    </row>
    <row r="108" spans="1:6" ht="15" x14ac:dyDescent="0.25">
      <c r="A108" t="s">
        <v>650</v>
      </c>
      <c r="B108" t="s">
        <v>99</v>
      </c>
      <c r="C108" s="88">
        <v>2</v>
      </c>
      <c r="D108" t="s">
        <v>282</v>
      </c>
      <c r="E108" t="s">
        <v>399</v>
      </c>
      <c r="F108" t="s">
        <v>297</v>
      </c>
    </row>
    <row r="109" spans="1:6" ht="15" x14ac:dyDescent="0.25">
      <c r="A109" t="s">
        <v>650</v>
      </c>
      <c r="B109" t="s">
        <v>99</v>
      </c>
      <c r="C109" s="88">
        <v>2</v>
      </c>
      <c r="D109" t="s">
        <v>282</v>
      </c>
      <c r="E109" t="s">
        <v>400</v>
      </c>
      <c r="F109" t="s">
        <v>871</v>
      </c>
    </row>
    <row r="110" spans="1:6" ht="15" x14ac:dyDescent="0.25">
      <c r="A110" t="s">
        <v>650</v>
      </c>
      <c r="B110" t="s">
        <v>80</v>
      </c>
      <c r="C110" s="88">
        <v>2</v>
      </c>
      <c r="D110" t="s">
        <v>282</v>
      </c>
      <c r="E110" t="s">
        <v>401</v>
      </c>
      <c r="F110" t="s">
        <v>813</v>
      </c>
    </row>
    <row r="111" spans="1:6" ht="15" x14ac:dyDescent="0.25">
      <c r="A111" t="s">
        <v>650</v>
      </c>
      <c r="B111" t="s">
        <v>106</v>
      </c>
      <c r="C111" s="88">
        <v>2</v>
      </c>
      <c r="D111" t="s">
        <v>282</v>
      </c>
      <c r="E111" t="s">
        <v>402</v>
      </c>
      <c r="F111" t="s">
        <v>329</v>
      </c>
    </row>
    <row r="112" spans="1:6" ht="15" x14ac:dyDescent="0.25">
      <c r="A112" t="s">
        <v>650</v>
      </c>
      <c r="B112" t="s">
        <v>106</v>
      </c>
      <c r="C112" s="88">
        <v>0</v>
      </c>
      <c r="D112" t="s">
        <v>282</v>
      </c>
      <c r="E112" t="s">
        <v>403</v>
      </c>
      <c r="F112" t="s">
        <v>860</v>
      </c>
    </row>
    <row r="113" spans="1:6" ht="15" x14ac:dyDescent="0.25">
      <c r="A113" t="s">
        <v>650</v>
      </c>
      <c r="B113" t="s">
        <v>75</v>
      </c>
      <c r="C113" s="88">
        <v>2</v>
      </c>
      <c r="D113" t="s">
        <v>282</v>
      </c>
      <c r="E113" t="s">
        <v>404</v>
      </c>
      <c r="F113" t="s">
        <v>895</v>
      </c>
    </row>
    <row r="114" spans="1:6" ht="15" x14ac:dyDescent="0.25">
      <c r="A114" t="s">
        <v>650</v>
      </c>
      <c r="B114" t="s">
        <v>111</v>
      </c>
      <c r="C114" s="88">
        <v>2</v>
      </c>
      <c r="D114" t="s">
        <v>282</v>
      </c>
      <c r="E114" t="s">
        <v>405</v>
      </c>
      <c r="F114" t="s">
        <v>297</v>
      </c>
    </row>
    <row r="115" spans="1:6" ht="15" x14ac:dyDescent="0.25">
      <c r="A115" t="s">
        <v>650</v>
      </c>
      <c r="B115" t="s">
        <v>112</v>
      </c>
      <c r="C115" s="88">
        <v>0</v>
      </c>
      <c r="D115" t="s">
        <v>282</v>
      </c>
      <c r="E115" t="s">
        <v>407</v>
      </c>
      <c r="F115" t="s">
        <v>931</v>
      </c>
    </row>
    <row r="116" spans="1:6" ht="15" x14ac:dyDescent="0.25">
      <c r="A116" t="s">
        <v>650</v>
      </c>
      <c r="B116" t="s">
        <v>112</v>
      </c>
      <c r="C116" s="88">
        <v>1</v>
      </c>
      <c r="D116" t="s">
        <v>282</v>
      </c>
      <c r="E116" t="s">
        <v>408</v>
      </c>
      <c r="F116" t="s">
        <v>293</v>
      </c>
    </row>
    <row r="117" spans="1:6" ht="15" x14ac:dyDescent="0.25">
      <c r="A117" t="s">
        <v>650</v>
      </c>
      <c r="B117" t="s">
        <v>325</v>
      </c>
      <c r="C117" s="88">
        <v>2</v>
      </c>
      <c r="D117" t="s">
        <v>282</v>
      </c>
      <c r="E117" t="s">
        <v>625</v>
      </c>
      <c r="F117" t="s">
        <v>867</v>
      </c>
    </row>
    <row r="118" spans="1:6" ht="15" x14ac:dyDescent="0.25">
      <c r="A118" t="s">
        <v>650</v>
      </c>
      <c r="B118" t="s">
        <v>117</v>
      </c>
      <c r="C118" s="88">
        <v>2</v>
      </c>
      <c r="D118" t="s">
        <v>282</v>
      </c>
      <c r="E118" t="s">
        <v>409</v>
      </c>
      <c r="F118" t="s">
        <v>932</v>
      </c>
    </row>
    <row r="119" spans="1:6" ht="15" x14ac:dyDescent="0.25">
      <c r="A119" t="s">
        <v>650</v>
      </c>
      <c r="B119" t="s">
        <v>304</v>
      </c>
      <c r="C119" s="88">
        <v>1</v>
      </c>
      <c r="D119" t="s">
        <v>282</v>
      </c>
      <c r="E119" t="s">
        <v>411</v>
      </c>
      <c r="F119" t="s">
        <v>293</v>
      </c>
    </row>
    <row r="120" spans="1:6" ht="15" x14ac:dyDescent="0.25">
      <c r="A120" t="s">
        <v>650</v>
      </c>
      <c r="B120" t="s">
        <v>304</v>
      </c>
      <c r="C120" s="88">
        <v>0</v>
      </c>
      <c r="D120" t="s">
        <v>282</v>
      </c>
      <c r="E120" t="s">
        <v>412</v>
      </c>
      <c r="F120" t="s">
        <v>361</v>
      </c>
    </row>
    <row r="121" spans="1:6" ht="15" x14ac:dyDescent="0.25">
      <c r="A121" t="s">
        <v>650</v>
      </c>
      <c r="B121" t="s">
        <v>306</v>
      </c>
      <c r="C121" s="88">
        <v>2</v>
      </c>
      <c r="D121" t="s">
        <v>282</v>
      </c>
      <c r="E121" t="s">
        <v>413</v>
      </c>
      <c r="F121" t="s">
        <v>907</v>
      </c>
    </row>
    <row r="122" spans="1:6" ht="15" x14ac:dyDescent="0.25">
      <c r="A122" t="s">
        <v>650</v>
      </c>
      <c r="B122" t="s">
        <v>129</v>
      </c>
      <c r="C122" s="88">
        <v>0</v>
      </c>
      <c r="D122" t="s">
        <v>282</v>
      </c>
      <c r="E122" t="s">
        <v>414</v>
      </c>
      <c r="F122" t="s">
        <v>361</v>
      </c>
    </row>
    <row r="123" spans="1:6" ht="15" x14ac:dyDescent="0.25">
      <c r="A123" t="s">
        <v>650</v>
      </c>
      <c r="B123" t="s">
        <v>131</v>
      </c>
      <c r="C123" s="88">
        <v>0</v>
      </c>
      <c r="D123" t="s">
        <v>282</v>
      </c>
      <c r="E123" t="s">
        <v>296</v>
      </c>
      <c r="F123" t="s">
        <v>361</v>
      </c>
    </row>
    <row r="124" spans="1:6" ht="15" x14ac:dyDescent="0.25">
      <c r="A124" t="s">
        <v>650</v>
      </c>
      <c r="B124" t="s">
        <v>131</v>
      </c>
      <c r="C124" s="88">
        <v>2</v>
      </c>
      <c r="D124" t="s">
        <v>282</v>
      </c>
      <c r="E124" t="s">
        <v>627</v>
      </c>
      <c r="F124" t="s">
        <v>297</v>
      </c>
    </row>
    <row r="125" spans="1:6" ht="15" x14ac:dyDescent="0.25">
      <c r="A125" t="s">
        <v>650</v>
      </c>
      <c r="B125" t="s">
        <v>311</v>
      </c>
      <c r="C125" s="88">
        <v>1</v>
      </c>
      <c r="D125" t="s">
        <v>282</v>
      </c>
      <c r="E125" t="s">
        <v>415</v>
      </c>
      <c r="F125" t="s">
        <v>925</v>
      </c>
    </row>
    <row r="126" spans="1:6" ht="15" x14ac:dyDescent="0.25">
      <c r="A126" t="s">
        <v>650</v>
      </c>
      <c r="B126" t="s">
        <v>311</v>
      </c>
      <c r="C126" s="88">
        <v>1</v>
      </c>
      <c r="D126" t="s">
        <v>282</v>
      </c>
      <c r="E126" t="s">
        <v>628</v>
      </c>
      <c r="F126" t="s">
        <v>293</v>
      </c>
    </row>
    <row r="127" spans="1:6" ht="15" x14ac:dyDescent="0.25">
      <c r="A127" t="s">
        <v>650</v>
      </c>
      <c r="B127" t="s">
        <v>91</v>
      </c>
      <c r="C127" s="88">
        <v>2</v>
      </c>
      <c r="D127" t="s">
        <v>282</v>
      </c>
      <c r="E127" t="s">
        <v>416</v>
      </c>
      <c r="F127" t="s">
        <v>896</v>
      </c>
    </row>
    <row r="128" spans="1:6" ht="15" x14ac:dyDescent="0.25">
      <c r="A128" t="s">
        <v>650</v>
      </c>
      <c r="B128" t="s">
        <v>99</v>
      </c>
      <c r="C128" s="88">
        <v>1</v>
      </c>
      <c r="D128" t="s">
        <v>282</v>
      </c>
      <c r="E128" t="s">
        <v>417</v>
      </c>
      <c r="F128" t="s">
        <v>424</v>
      </c>
    </row>
    <row r="129" spans="1:6" ht="15" x14ac:dyDescent="0.25">
      <c r="A129" t="s">
        <v>650</v>
      </c>
      <c r="B129" t="s">
        <v>80</v>
      </c>
      <c r="C129" s="88">
        <v>2</v>
      </c>
      <c r="D129" t="s">
        <v>282</v>
      </c>
      <c r="E129" t="s">
        <v>418</v>
      </c>
      <c r="F129" t="s">
        <v>811</v>
      </c>
    </row>
    <row r="130" spans="1:6" ht="15" x14ac:dyDescent="0.25">
      <c r="A130" t="s">
        <v>650</v>
      </c>
      <c r="B130" t="s">
        <v>80</v>
      </c>
      <c r="C130" s="88">
        <v>2</v>
      </c>
      <c r="D130" t="s">
        <v>282</v>
      </c>
      <c r="E130" t="s">
        <v>419</v>
      </c>
      <c r="F130" t="s">
        <v>420</v>
      </c>
    </row>
    <row r="131" spans="1:6" ht="15" x14ac:dyDescent="0.25">
      <c r="A131" t="s">
        <v>650</v>
      </c>
      <c r="B131" t="s">
        <v>106</v>
      </c>
      <c r="C131" s="88">
        <v>2</v>
      </c>
      <c r="D131" t="s">
        <v>282</v>
      </c>
      <c r="E131" t="s">
        <v>421</v>
      </c>
      <c r="F131" t="s">
        <v>849</v>
      </c>
    </row>
    <row r="132" spans="1:6" ht="15" x14ac:dyDescent="0.25">
      <c r="A132" t="s">
        <v>650</v>
      </c>
      <c r="B132" t="s">
        <v>106</v>
      </c>
      <c r="C132" s="88">
        <v>0</v>
      </c>
      <c r="D132" t="s">
        <v>282</v>
      </c>
      <c r="E132" t="s">
        <v>422</v>
      </c>
      <c r="F132" t="s">
        <v>861</v>
      </c>
    </row>
    <row r="133" spans="1:6" ht="15" x14ac:dyDescent="0.25">
      <c r="A133" t="s">
        <v>650</v>
      </c>
      <c r="B133" t="s">
        <v>75</v>
      </c>
      <c r="C133" s="88">
        <v>0</v>
      </c>
      <c r="D133" t="s">
        <v>282</v>
      </c>
      <c r="E133" t="s">
        <v>423</v>
      </c>
      <c r="F133" t="s">
        <v>424</v>
      </c>
    </row>
    <row r="134" spans="1:6" ht="15" x14ac:dyDescent="0.25">
      <c r="A134" t="s">
        <v>650</v>
      </c>
      <c r="B134" t="s">
        <v>75</v>
      </c>
      <c r="C134" s="88">
        <v>2</v>
      </c>
      <c r="D134" t="s">
        <v>282</v>
      </c>
      <c r="E134" t="s">
        <v>425</v>
      </c>
      <c r="F134" t="s">
        <v>879</v>
      </c>
    </row>
    <row r="135" spans="1:6" ht="15" x14ac:dyDescent="0.25">
      <c r="A135" t="s">
        <v>650</v>
      </c>
      <c r="B135" t="s">
        <v>111</v>
      </c>
      <c r="C135" s="88">
        <v>1</v>
      </c>
      <c r="D135" t="s">
        <v>282</v>
      </c>
      <c r="E135" t="s">
        <v>426</v>
      </c>
      <c r="F135" t="s">
        <v>293</v>
      </c>
    </row>
    <row r="136" spans="1:6" ht="15" x14ac:dyDescent="0.25">
      <c r="A136" t="s">
        <v>650</v>
      </c>
      <c r="B136" t="s">
        <v>112</v>
      </c>
      <c r="C136" s="88">
        <v>2</v>
      </c>
      <c r="D136" t="s">
        <v>282</v>
      </c>
      <c r="E136" t="s">
        <v>427</v>
      </c>
      <c r="F136" t="s">
        <v>361</v>
      </c>
    </row>
    <row r="137" spans="1:6" ht="15" x14ac:dyDescent="0.25">
      <c r="A137" t="s">
        <v>650</v>
      </c>
      <c r="B137" t="s">
        <v>112</v>
      </c>
      <c r="C137" s="88">
        <v>2</v>
      </c>
      <c r="D137" t="s">
        <v>282</v>
      </c>
      <c r="E137" t="s">
        <v>428</v>
      </c>
      <c r="F137" t="s">
        <v>933</v>
      </c>
    </row>
    <row r="138" spans="1:6" ht="15" x14ac:dyDescent="0.25">
      <c r="A138" t="s">
        <v>650</v>
      </c>
      <c r="B138" t="s">
        <v>117</v>
      </c>
      <c r="C138" s="88">
        <v>0</v>
      </c>
      <c r="D138" t="s">
        <v>282</v>
      </c>
      <c r="E138" t="s">
        <v>429</v>
      </c>
      <c r="F138" t="s">
        <v>916</v>
      </c>
    </row>
    <row r="139" spans="1:6" ht="15" x14ac:dyDescent="0.25">
      <c r="A139" t="s">
        <v>650</v>
      </c>
      <c r="B139" t="s">
        <v>300</v>
      </c>
      <c r="C139" s="88">
        <v>2</v>
      </c>
      <c r="D139" t="s">
        <v>282</v>
      </c>
      <c r="E139" t="s">
        <v>430</v>
      </c>
      <c r="F139" t="s">
        <v>868</v>
      </c>
    </row>
    <row r="140" spans="1:6" ht="15" x14ac:dyDescent="0.25">
      <c r="A140" t="s">
        <v>650</v>
      </c>
      <c r="B140" t="s">
        <v>304</v>
      </c>
      <c r="C140" s="88">
        <v>1</v>
      </c>
      <c r="D140" t="s">
        <v>282</v>
      </c>
      <c r="E140" t="s">
        <v>431</v>
      </c>
      <c r="F140" t="s">
        <v>293</v>
      </c>
    </row>
    <row r="141" spans="1:6" ht="15" x14ac:dyDescent="0.25">
      <c r="A141" t="s">
        <v>650</v>
      </c>
      <c r="B141" t="s">
        <v>306</v>
      </c>
      <c r="C141" s="88">
        <v>1</v>
      </c>
      <c r="D141" t="s">
        <v>282</v>
      </c>
      <c r="E141" t="s">
        <v>433</v>
      </c>
      <c r="F141" t="s">
        <v>293</v>
      </c>
    </row>
    <row r="142" spans="1:6" ht="15" x14ac:dyDescent="0.25">
      <c r="A142" t="s">
        <v>650</v>
      </c>
      <c r="B142" t="s">
        <v>129</v>
      </c>
      <c r="C142" s="88">
        <v>0</v>
      </c>
      <c r="D142" t="s">
        <v>282</v>
      </c>
      <c r="E142" t="s">
        <v>434</v>
      </c>
      <c r="F142" t="s">
        <v>897</v>
      </c>
    </row>
    <row r="143" spans="1:6" ht="15" x14ac:dyDescent="0.25">
      <c r="A143" t="s">
        <v>650</v>
      </c>
      <c r="B143" t="s">
        <v>129</v>
      </c>
      <c r="C143" s="88">
        <v>1</v>
      </c>
      <c r="D143" t="s">
        <v>282</v>
      </c>
      <c r="E143" t="s">
        <v>435</v>
      </c>
      <c r="F143" t="s">
        <v>293</v>
      </c>
    </row>
    <row r="144" spans="1:6" ht="15" x14ac:dyDescent="0.25">
      <c r="A144" t="s">
        <v>650</v>
      </c>
      <c r="B144" t="s">
        <v>131</v>
      </c>
      <c r="C144" s="88">
        <v>1</v>
      </c>
      <c r="D144" t="s">
        <v>282</v>
      </c>
      <c r="E144" t="s">
        <v>436</v>
      </c>
      <c r="F144" t="s">
        <v>881</v>
      </c>
    </row>
    <row r="145" spans="1:6" ht="15" x14ac:dyDescent="0.25">
      <c r="A145" t="s">
        <v>650</v>
      </c>
      <c r="B145" t="s">
        <v>311</v>
      </c>
      <c r="C145" s="88">
        <v>2</v>
      </c>
      <c r="D145" t="s">
        <v>282</v>
      </c>
      <c r="E145" t="s">
        <v>437</v>
      </c>
      <c r="F145" t="s">
        <v>862</v>
      </c>
    </row>
    <row r="146" spans="1:6" ht="15" x14ac:dyDescent="0.25">
      <c r="A146" t="s">
        <v>650</v>
      </c>
      <c r="B146" t="s">
        <v>311</v>
      </c>
      <c r="C146" s="88">
        <v>0</v>
      </c>
      <c r="D146" t="s">
        <v>282</v>
      </c>
      <c r="E146" t="s">
        <v>438</v>
      </c>
      <c r="F146" t="s">
        <v>882</v>
      </c>
    </row>
    <row r="147" spans="1:6" ht="15" x14ac:dyDescent="0.25">
      <c r="A147" t="s">
        <v>650</v>
      </c>
      <c r="B147" t="s">
        <v>91</v>
      </c>
      <c r="C147" s="88">
        <v>0</v>
      </c>
      <c r="D147" t="s">
        <v>282</v>
      </c>
      <c r="E147" t="s">
        <v>630</v>
      </c>
      <c r="F147" t="s">
        <v>934</v>
      </c>
    </row>
    <row r="148" spans="1:6" ht="15" x14ac:dyDescent="0.25">
      <c r="A148" t="s">
        <v>650</v>
      </c>
      <c r="B148" t="s">
        <v>99</v>
      </c>
      <c r="C148" s="88">
        <v>1</v>
      </c>
      <c r="D148" t="s">
        <v>282</v>
      </c>
      <c r="E148" t="s">
        <v>439</v>
      </c>
      <c r="F148" t="s">
        <v>293</v>
      </c>
    </row>
    <row r="149" spans="1:6" ht="15" x14ac:dyDescent="0.25">
      <c r="A149" t="s">
        <v>650</v>
      </c>
      <c r="B149" t="s">
        <v>80</v>
      </c>
      <c r="C149" s="88">
        <v>1</v>
      </c>
      <c r="D149" t="s">
        <v>282</v>
      </c>
      <c r="E149" t="s">
        <v>440</v>
      </c>
      <c r="F149" t="s">
        <v>293</v>
      </c>
    </row>
    <row r="150" spans="1:6" ht="15" x14ac:dyDescent="0.25">
      <c r="A150" t="s">
        <v>650</v>
      </c>
      <c r="B150" t="s">
        <v>106</v>
      </c>
      <c r="C150" s="88">
        <v>2</v>
      </c>
      <c r="D150" t="s">
        <v>282</v>
      </c>
      <c r="E150" t="s">
        <v>441</v>
      </c>
      <c r="F150" t="s">
        <v>824</v>
      </c>
    </row>
    <row r="151" spans="1:6" ht="15" x14ac:dyDescent="0.25">
      <c r="A151" t="s">
        <v>650</v>
      </c>
      <c r="B151" t="s">
        <v>106</v>
      </c>
      <c r="C151" s="88">
        <v>2</v>
      </c>
      <c r="D151" t="s">
        <v>282</v>
      </c>
      <c r="E151" t="s">
        <v>442</v>
      </c>
      <c r="F151" t="s">
        <v>935</v>
      </c>
    </row>
    <row r="152" spans="1:6" ht="15" x14ac:dyDescent="0.25">
      <c r="A152" t="s">
        <v>650</v>
      </c>
      <c r="B152" t="s">
        <v>75</v>
      </c>
      <c r="C152" s="88">
        <v>1</v>
      </c>
      <c r="D152" t="s">
        <v>282</v>
      </c>
      <c r="E152" t="s">
        <v>443</v>
      </c>
      <c r="F152" t="s">
        <v>936</v>
      </c>
    </row>
    <row r="153" spans="1:6" ht="15" x14ac:dyDescent="0.25">
      <c r="A153" t="s">
        <v>650</v>
      </c>
      <c r="B153" t="s">
        <v>99</v>
      </c>
      <c r="C153" s="88">
        <v>2</v>
      </c>
      <c r="D153" t="s">
        <v>282</v>
      </c>
      <c r="E153" t="s">
        <v>444</v>
      </c>
      <c r="F153" t="s">
        <v>883</v>
      </c>
    </row>
    <row r="154" spans="1:6" ht="15" x14ac:dyDescent="0.25">
      <c r="A154" t="s">
        <v>650</v>
      </c>
      <c r="B154" t="s">
        <v>306</v>
      </c>
      <c r="C154" s="88">
        <v>0</v>
      </c>
      <c r="D154" t="s">
        <v>282</v>
      </c>
      <c r="E154" t="s">
        <v>445</v>
      </c>
      <c r="F154" t="s">
        <v>863</v>
      </c>
    </row>
    <row r="155" spans="1:6" ht="15" x14ac:dyDescent="0.25">
      <c r="A155" t="s">
        <v>650</v>
      </c>
      <c r="B155" t="s">
        <v>306</v>
      </c>
      <c r="C155" s="88">
        <v>2</v>
      </c>
      <c r="D155" t="s">
        <v>282</v>
      </c>
      <c r="E155" t="s">
        <v>446</v>
      </c>
      <c r="F155" t="s">
        <v>864</v>
      </c>
    </row>
    <row r="156" spans="1:6" ht="15" x14ac:dyDescent="0.25">
      <c r="A156" t="s">
        <v>654</v>
      </c>
      <c r="B156" t="s">
        <v>151</v>
      </c>
      <c r="C156" s="88">
        <v>1</v>
      </c>
      <c r="D156" t="s">
        <v>282</v>
      </c>
      <c r="E156" t="s">
        <v>447</v>
      </c>
      <c r="F156" t="s">
        <v>452</v>
      </c>
    </row>
    <row r="157" spans="1:6" ht="15" x14ac:dyDescent="0.25">
      <c r="A157" t="s">
        <v>654</v>
      </c>
      <c r="B157" t="s">
        <v>143</v>
      </c>
      <c r="C157" s="88">
        <v>2</v>
      </c>
      <c r="D157" t="s">
        <v>282</v>
      </c>
      <c r="E157" t="s">
        <v>449</v>
      </c>
      <c r="F157" t="s">
        <v>450</v>
      </c>
    </row>
    <row r="158" spans="1:6" ht="15" x14ac:dyDescent="0.25">
      <c r="A158" t="s">
        <v>654</v>
      </c>
      <c r="B158" t="s">
        <v>4</v>
      </c>
      <c r="C158" s="88">
        <v>3</v>
      </c>
      <c r="D158" t="s">
        <v>282</v>
      </c>
      <c r="E158" t="s">
        <v>632</v>
      </c>
      <c r="F158" t="s">
        <v>884</v>
      </c>
    </row>
    <row r="159" spans="1:6" ht="15" x14ac:dyDescent="0.25">
      <c r="A159" t="s">
        <v>654</v>
      </c>
      <c r="B159" t="s">
        <v>8</v>
      </c>
      <c r="C159" s="88">
        <v>3</v>
      </c>
      <c r="D159" t="s">
        <v>282</v>
      </c>
      <c r="E159" t="s">
        <v>451</v>
      </c>
      <c r="F159" t="s">
        <v>884</v>
      </c>
    </row>
    <row r="160" spans="1:6" ht="15" x14ac:dyDescent="0.25">
      <c r="A160" t="s">
        <v>654</v>
      </c>
      <c r="B160" t="s">
        <v>157</v>
      </c>
      <c r="C160" s="88">
        <v>3</v>
      </c>
      <c r="D160" t="s">
        <v>282</v>
      </c>
      <c r="E160" t="s">
        <v>454</v>
      </c>
      <c r="F160" t="s">
        <v>884</v>
      </c>
    </row>
    <row r="161" spans="1:6" ht="15" x14ac:dyDescent="0.25">
      <c r="A161" t="s">
        <v>654</v>
      </c>
      <c r="B161" t="s">
        <v>137</v>
      </c>
      <c r="C161" s="88">
        <v>2</v>
      </c>
      <c r="D161" t="s">
        <v>282</v>
      </c>
      <c r="E161" t="s">
        <v>457</v>
      </c>
      <c r="F161" t="s">
        <v>450</v>
      </c>
    </row>
    <row r="162" spans="1:6" ht="15" x14ac:dyDescent="0.25">
      <c r="A162" t="s">
        <v>654</v>
      </c>
      <c r="B162" t="s">
        <v>163</v>
      </c>
      <c r="C162" s="88">
        <v>1</v>
      </c>
      <c r="D162" t="s">
        <v>282</v>
      </c>
      <c r="E162" t="s">
        <v>458</v>
      </c>
      <c r="F162" t="s">
        <v>452</v>
      </c>
    </row>
    <row r="163" spans="1:6" ht="15" x14ac:dyDescent="0.25">
      <c r="A163" t="s">
        <v>654</v>
      </c>
      <c r="B163" t="s">
        <v>154</v>
      </c>
      <c r="C163" s="88">
        <v>1</v>
      </c>
      <c r="D163" t="s">
        <v>282</v>
      </c>
      <c r="E163" t="s">
        <v>459</v>
      </c>
      <c r="F163" t="s">
        <v>452</v>
      </c>
    </row>
    <row r="164" spans="1:6" ht="15" x14ac:dyDescent="0.25">
      <c r="A164" t="s">
        <v>654</v>
      </c>
      <c r="B164" t="s">
        <v>143</v>
      </c>
      <c r="C164" s="88">
        <v>4</v>
      </c>
      <c r="D164" t="s">
        <v>282</v>
      </c>
      <c r="E164" t="s">
        <v>633</v>
      </c>
      <c r="F164" t="s">
        <v>847</v>
      </c>
    </row>
    <row r="165" spans="1:6" ht="15" x14ac:dyDescent="0.25">
      <c r="A165" t="s">
        <v>654</v>
      </c>
      <c r="B165" t="s">
        <v>171</v>
      </c>
      <c r="C165" s="88">
        <v>2</v>
      </c>
      <c r="D165" t="s">
        <v>282</v>
      </c>
      <c r="E165" t="s">
        <v>460</v>
      </c>
      <c r="F165" t="s">
        <v>450</v>
      </c>
    </row>
    <row r="166" spans="1:6" ht="15" x14ac:dyDescent="0.25">
      <c r="A166" t="s">
        <v>654</v>
      </c>
      <c r="B166" t="s">
        <v>137</v>
      </c>
      <c r="C166" s="88">
        <v>3</v>
      </c>
      <c r="D166" t="s">
        <v>282</v>
      </c>
      <c r="E166" t="s">
        <v>461</v>
      </c>
      <c r="F166" t="s">
        <v>884</v>
      </c>
    </row>
    <row r="167" spans="1:6" ht="15" x14ac:dyDescent="0.25">
      <c r="A167" t="s">
        <v>654</v>
      </c>
      <c r="B167" t="s">
        <v>151</v>
      </c>
      <c r="C167" s="88">
        <v>1</v>
      </c>
      <c r="D167" t="s">
        <v>282</v>
      </c>
      <c r="E167" t="s">
        <v>462</v>
      </c>
      <c r="F167" t="s">
        <v>452</v>
      </c>
    </row>
    <row r="168" spans="1:6" ht="15" x14ac:dyDescent="0.25">
      <c r="A168" t="s">
        <v>654</v>
      </c>
      <c r="B168" t="s">
        <v>3</v>
      </c>
      <c r="C168" s="88">
        <v>0</v>
      </c>
      <c r="D168" t="s">
        <v>282</v>
      </c>
      <c r="E168" t="s">
        <v>463</v>
      </c>
      <c r="F168" t="s">
        <v>448</v>
      </c>
    </row>
    <row r="169" spans="1:6" ht="15" x14ac:dyDescent="0.25">
      <c r="A169" t="s">
        <v>654</v>
      </c>
      <c r="B169" t="s">
        <v>171</v>
      </c>
      <c r="C169" s="88">
        <v>2</v>
      </c>
      <c r="D169" t="s">
        <v>282</v>
      </c>
      <c r="E169" t="s">
        <v>464</v>
      </c>
      <c r="F169" t="s">
        <v>450</v>
      </c>
    </row>
    <row r="170" spans="1:6" ht="15" x14ac:dyDescent="0.25">
      <c r="A170" t="s">
        <v>654</v>
      </c>
      <c r="B170" t="s">
        <v>154</v>
      </c>
      <c r="C170" s="88">
        <v>4</v>
      </c>
      <c r="D170" t="s">
        <v>282</v>
      </c>
      <c r="E170" t="s">
        <v>634</v>
      </c>
      <c r="F170" t="s">
        <v>847</v>
      </c>
    </row>
    <row r="171" spans="1:6" ht="15" x14ac:dyDescent="0.25">
      <c r="A171" t="s">
        <v>654</v>
      </c>
      <c r="B171" t="s">
        <v>167</v>
      </c>
      <c r="C171" s="88">
        <v>2</v>
      </c>
      <c r="D171" t="s">
        <v>282</v>
      </c>
      <c r="E171" t="s">
        <v>465</v>
      </c>
      <c r="F171" t="s">
        <v>450</v>
      </c>
    </row>
    <row r="172" spans="1:6" ht="15" x14ac:dyDescent="0.25">
      <c r="A172" t="s">
        <v>654</v>
      </c>
      <c r="B172" t="s">
        <v>140</v>
      </c>
      <c r="C172" s="88">
        <v>3</v>
      </c>
      <c r="D172" t="s">
        <v>282</v>
      </c>
      <c r="E172" t="s">
        <v>466</v>
      </c>
      <c r="F172" t="s">
        <v>884</v>
      </c>
    </row>
    <row r="173" spans="1:6" ht="15" x14ac:dyDescent="0.25">
      <c r="A173" t="s">
        <v>654</v>
      </c>
      <c r="B173" t="s">
        <v>6</v>
      </c>
      <c r="C173" s="88">
        <v>1</v>
      </c>
      <c r="D173" t="s">
        <v>282</v>
      </c>
      <c r="E173" t="s">
        <v>467</v>
      </c>
      <c r="F173" t="s">
        <v>452</v>
      </c>
    </row>
    <row r="174" spans="1:6" ht="15" x14ac:dyDescent="0.25">
      <c r="A174" t="s">
        <v>654</v>
      </c>
      <c r="B174" t="s">
        <v>157</v>
      </c>
      <c r="C174" s="88">
        <v>3</v>
      </c>
      <c r="D174" t="s">
        <v>282</v>
      </c>
      <c r="E174" t="s">
        <v>468</v>
      </c>
      <c r="F174" t="s">
        <v>884</v>
      </c>
    </row>
    <row r="175" spans="1:6" ht="15" x14ac:dyDescent="0.25">
      <c r="A175" t="s">
        <v>654</v>
      </c>
      <c r="B175" t="s">
        <v>8</v>
      </c>
      <c r="C175" s="88">
        <v>1</v>
      </c>
      <c r="D175" t="s">
        <v>282</v>
      </c>
      <c r="E175" t="s">
        <v>469</v>
      </c>
      <c r="F175" t="s">
        <v>452</v>
      </c>
    </row>
    <row r="176" spans="1:6" ht="15" x14ac:dyDescent="0.25">
      <c r="A176" t="s">
        <v>654</v>
      </c>
      <c r="B176" t="s">
        <v>147</v>
      </c>
      <c r="C176" s="88">
        <v>2</v>
      </c>
      <c r="D176" t="s">
        <v>282</v>
      </c>
      <c r="E176" t="s">
        <v>470</v>
      </c>
      <c r="F176" t="s">
        <v>450</v>
      </c>
    </row>
    <row r="177" spans="1:6" ht="15" x14ac:dyDescent="0.25">
      <c r="A177" t="s">
        <v>654</v>
      </c>
      <c r="B177" t="s">
        <v>0</v>
      </c>
      <c r="C177" s="88">
        <v>3</v>
      </c>
      <c r="D177" t="s">
        <v>282</v>
      </c>
      <c r="E177" t="s">
        <v>471</v>
      </c>
      <c r="F177" t="s">
        <v>884</v>
      </c>
    </row>
    <row r="178" spans="1:6" ht="15" x14ac:dyDescent="0.25">
      <c r="A178" t="s">
        <v>660</v>
      </c>
      <c r="B178" t="s">
        <v>667</v>
      </c>
      <c r="C178" s="88">
        <v>0</v>
      </c>
      <c r="D178" t="s">
        <v>282</v>
      </c>
      <c r="E178" t="s">
        <v>715</v>
      </c>
      <c r="F178" t="s">
        <v>291</v>
      </c>
    </row>
    <row r="179" spans="1:6" ht="15" x14ac:dyDescent="0.25">
      <c r="A179" t="s">
        <v>654</v>
      </c>
      <c r="B179" t="s">
        <v>0</v>
      </c>
      <c r="C179" s="88">
        <v>2</v>
      </c>
      <c r="D179" t="s">
        <v>282</v>
      </c>
      <c r="E179" t="s">
        <v>473</v>
      </c>
      <c r="F179" t="s">
        <v>450</v>
      </c>
    </row>
    <row r="180" spans="1:6" ht="15" x14ac:dyDescent="0.25">
      <c r="A180" t="s">
        <v>654</v>
      </c>
      <c r="B180" t="s">
        <v>167</v>
      </c>
      <c r="C180" s="88">
        <v>1</v>
      </c>
      <c r="D180" t="s">
        <v>282</v>
      </c>
      <c r="E180" t="s">
        <v>474</v>
      </c>
      <c r="F180" t="s">
        <v>452</v>
      </c>
    </row>
    <row r="181" spans="1:6" ht="15" x14ac:dyDescent="0.25">
      <c r="A181" t="s">
        <v>654</v>
      </c>
      <c r="B181" t="s">
        <v>143</v>
      </c>
      <c r="C181" s="88">
        <v>2</v>
      </c>
      <c r="D181" t="s">
        <v>282</v>
      </c>
      <c r="E181" t="s">
        <v>476</v>
      </c>
      <c r="F181" t="s">
        <v>450</v>
      </c>
    </row>
    <row r="182" spans="1:6" ht="15" x14ac:dyDescent="0.25">
      <c r="A182" t="s">
        <v>654</v>
      </c>
      <c r="B182" t="s">
        <v>137</v>
      </c>
      <c r="C182" s="88">
        <v>3</v>
      </c>
      <c r="D182" t="s">
        <v>282</v>
      </c>
      <c r="E182" t="s">
        <v>635</v>
      </c>
      <c r="F182" t="s">
        <v>884</v>
      </c>
    </row>
    <row r="183" spans="1:6" ht="15" x14ac:dyDescent="0.25">
      <c r="A183" t="s">
        <v>654</v>
      </c>
      <c r="B183" t="s">
        <v>154</v>
      </c>
      <c r="C183" s="88">
        <v>2</v>
      </c>
      <c r="D183" t="s">
        <v>282</v>
      </c>
      <c r="E183" t="s">
        <v>479</v>
      </c>
      <c r="F183" t="s">
        <v>450</v>
      </c>
    </row>
    <row r="184" spans="1:6" ht="15" x14ac:dyDescent="0.25">
      <c r="A184" t="s">
        <v>654</v>
      </c>
      <c r="B184" t="s">
        <v>163</v>
      </c>
      <c r="C184" s="88">
        <v>1</v>
      </c>
      <c r="D184" t="s">
        <v>282</v>
      </c>
      <c r="E184" t="s">
        <v>636</v>
      </c>
      <c r="F184" t="s">
        <v>452</v>
      </c>
    </row>
    <row r="185" spans="1:6" ht="15" x14ac:dyDescent="0.25">
      <c r="A185" t="s">
        <v>654</v>
      </c>
      <c r="B185" t="s">
        <v>4</v>
      </c>
      <c r="C185" s="88">
        <v>3</v>
      </c>
      <c r="D185" t="s">
        <v>282</v>
      </c>
      <c r="E185" t="s">
        <v>480</v>
      </c>
      <c r="F185" t="s">
        <v>884</v>
      </c>
    </row>
    <row r="186" spans="1:6" ht="15" x14ac:dyDescent="0.25">
      <c r="A186" t="s">
        <v>654</v>
      </c>
      <c r="B186" t="s">
        <v>9</v>
      </c>
      <c r="C186" s="88">
        <v>1</v>
      </c>
      <c r="D186" t="s">
        <v>282</v>
      </c>
      <c r="E186" t="s">
        <v>481</v>
      </c>
      <c r="F186" t="s">
        <v>452</v>
      </c>
    </row>
    <row r="187" spans="1:6" ht="15" x14ac:dyDescent="0.25">
      <c r="A187" t="s">
        <v>654</v>
      </c>
      <c r="B187" t="s">
        <v>151</v>
      </c>
      <c r="C187" s="88">
        <v>2</v>
      </c>
      <c r="D187" t="s">
        <v>282</v>
      </c>
      <c r="E187" t="s">
        <v>482</v>
      </c>
      <c r="F187" t="s">
        <v>450</v>
      </c>
    </row>
    <row r="188" spans="1:6" ht="15" x14ac:dyDescent="0.25">
      <c r="A188" t="s">
        <v>654</v>
      </c>
      <c r="B188" t="s">
        <v>0</v>
      </c>
      <c r="C188" s="88">
        <v>1</v>
      </c>
      <c r="D188" t="s">
        <v>282</v>
      </c>
      <c r="E188" t="s">
        <v>483</v>
      </c>
      <c r="F188" t="s">
        <v>452</v>
      </c>
    </row>
    <row r="189" spans="1:6" ht="15" x14ac:dyDescent="0.25">
      <c r="A189" t="s">
        <v>654</v>
      </c>
      <c r="B189" t="s">
        <v>157</v>
      </c>
      <c r="C189" s="88">
        <v>3</v>
      </c>
      <c r="D189" t="s">
        <v>282</v>
      </c>
      <c r="E189" t="s">
        <v>484</v>
      </c>
      <c r="F189" t="s">
        <v>884</v>
      </c>
    </row>
    <row r="190" spans="1:6" ht="15" x14ac:dyDescent="0.25">
      <c r="A190" t="s">
        <v>654</v>
      </c>
      <c r="B190" t="s">
        <v>6</v>
      </c>
      <c r="C190" s="88">
        <v>1</v>
      </c>
      <c r="D190" t="s">
        <v>282</v>
      </c>
      <c r="E190" t="s">
        <v>485</v>
      </c>
      <c r="F190" t="s">
        <v>452</v>
      </c>
    </row>
    <row r="191" spans="1:6" ht="15" x14ac:dyDescent="0.25">
      <c r="A191" t="s">
        <v>654</v>
      </c>
      <c r="B191" t="s">
        <v>147</v>
      </c>
      <c r="C191" s="88">
        <v>3</v>
      </c>
      <c r="D191" t="s">
        <v>282</v>
      </c>
      <c r="E191" t="s">
        <v>486</v>
      </c>
      <c r="F191" t="s">
        <v>884</v>
      </c>
    </row>
    <row r="192" spans="1:6" ht="15" x14ac:dyDescent="0.25">
      <c r="A192" t="s">
        <v>654</v>
      </c>
      <c r="B192" t="s">
        <v>140</v>
      </c>
      <c r="C192" s="88">
        <v>3</v>
      </c>
      <c r="D192" t="s">
        <v>282</v>
      </c>
      <c r="E192" t="s">
        <v>487</v>
      </c>
      <c r="F192" t="s">
        <v>884</v>
      </c>
    </row>
    <row r="193" spans="1:6" ht="15" x14ac:dyDescent="0.25">
      <c r="A193" t="s">
        <v>654</v>
      </c>
      <c r="B193" t="s">
        <v>171</v>
      </c>
      <c r="C193" s="88">
        <v>1</v>
      </c>
      <c r="D193" t="s">
        <v>282</v>
      </c>
      <c r="E193" t="s">
        <v>488</v>
      </c>
      <c r="F193" t="s">
        <v>452</v>
      </c>
    </row>
    <row r="194" spans="1:6" ht="15" x14ac:dyDescent="0.25">
      <c r="A194" t="s">
        <v>654</v>
      </c>
      <c r="B194" t="s">
        <v>143</v>
      </c>
      <c r="C194" s="88">
        <v>2</v>
      </c>
      <c r="D194" t="s">
        <v>282</v>
      </c>
      <c r="E194" t="s">
        <v>489</v>
      </c>
      <c r="F194" t="s">
        <v>450</v>
      </c>
    </row>
    <row r="195" spans="1:6" ht="15" x14ac:dyDescent="0.25">
      <c r="A195" t="s">
        <v>654</v>
      </c>
      <c r="B195" t="s">
        <v>3</v>
      </c>
      <c r="C195" s="88">
        <v>1</v>
      </c>
      <c r="D195" t="s">
        <v>282</v>
      </c>
      <c r="E195" t="s">
        <v>507</v>
      </c>
      <c r="F195" t="s">
        <v>452</v>
      </c>
    </row>
    <row r="196" spans="1:6" ht="15" x14ac:dyDescent="0.25">
      <c r="A196" t="s">
        <v>654</v>
      </c>
      <c r="B196" t="s">
        <v>151</v>
      </c>
      <c r="C196" s="88">
        <v>0</v>
      </c>
      <c r="D196" t="s">
        <v>282</v>
      </c>
      <c r="E196" t="s">
        <v>491</v>
      </c>
      <c r="F196" t="s">
        <v>448</v>
      </c>
    </row>
    <row r="197" spans="1:6" ht="15" x14ac:dyDescent="0.25">
      <c r="A197" t="s">
        <v>654</v>
      </c>
      <c r="B197" t="s">
        <v>9</v>
      </c>
      <c r="C197" s="88">
        <v>1</v>
      </c>
      <c r="D197" t="s">
        <v>282</v>
      </c>
      <c r="E197" t="s">
        <v>492</v>
      </c>
      <c r="F197" t="s">
        <v>452</v>
      </c>
    </row>
    <row r="198" spans="1:6" ht="15" x14ac:dyDescent="0.25">
      <c r="A198" t="s">
        <v>654</v>
      </c>
      <c r="B198" t="s">
        <v>154</v>
      </c>
      <c r="C198" s="88">
        <v>1</v>
      </c>
      <c r="D198" t="s">
        <v>282</v>
      </c>
      <c r="E198" t="s">
        <v>493</v>
      </c>
      <c r="F198" t="s">
        <v>452</v>
      </c>
    </row>
    <row r="199" spans="1:6" ht="15" x14ac:dyDescent="0.25">
      <c r="A199" t="s">
        <v>654</v>
      </c>
      <c r="B199" t="s">
        <v>3</v>
      </c>
      <c r="C199" s="88">
        <v>1</v>
      </c>
      <c r="D199" t="s">
        <v>282</v>
      </c>
      <c r="E199" t="s">
        <v>637</v>
      </c>
      <c r="F199" t="s">
        <v>452</v>
      </c>
    </row>
    <row r="200" spans="1:6" ht="15" x14ac:dyDescent="0.25">
      <c r="A200" t="s">
        <v>654</v>
      </c>
      <c r="B200" t="s">
        <v>8</v>
      </c>
      <c r="C200" s="88">
        <v>2</v>
      </c>
      <c r="D200" t="s">
        <v>282</v>
      </c>
      <c r="E200" t="s">
        <v>495</v>
      </c>
      <c r="F200" t="s">
        <v>450</v>
      </c>
    </row>
    <row r="201" spans="1:6" ht="15" x14ac:dyDescent="0.25">
      <c r="A201" t="s">
        <v>654</v>
      </c>
      <c r="B201" t="s">
        <v>137</v>
      </c>
      <c r="C201" s="88">
        <v>2</v>
      </c>
      <c r="D201" t="s">
        <v>282</v>
      </c>
      <c r="E201" t="s">
        <v>496</v>
      </c>
      <c r="F201" t="s">
        <v>450</v>
      </c>
    </row>
    <row r="202" spans="1:6" ht="15" x14ac:dyDescent="0.25">
      <c r="A202" t="s">
        <v>654</v>
      </c>
      <c r="B202" t="s">
        <v>147</v>
      </c>
      <c r="C202" s="88">
        <v>3</v>
      </c>
      <c r="D202" t="s">
        <v>282</v>
      </c>
      <c r="E202" t="s">
        <v>497</v>
      </c>
      <c r="F202" t="s">
        <v>884</v>
      </c>
    </row>
    <row r="203" spans="1:6" ht="15" x14ac:dyDescent="0.25">
      <c r="A203" t="s">
        <v>654</v>
      </c>
      <c r="B203" t="s">
        <v>140</v>
      </c>
      <c r="C203" s="88">
        <v>4</v>
      </c>
      <c r="D203" t="s">
        <v>282</v>
      </c>
      <c r="E203" t="s">
        <v>498</v>
      </c>
      <c r="F203" t="s">
        <v>847</v>
      </c>
    </row>
    <row r="204" spans="1:6" ht="15" x14ac:dyDescent="0.25">
      <c r="A204" t="s">
        <v>654</v>
      </c>
      <c r="B204" t="s">
        <v>157</v>
      </c>
      <c r="C204" s="88">
        <v>3</v>
      </c>
      <c r="D204" t="s">
        <v>282</v>
      </c>
      <c r="E204" t="s">
        <v>499</v>
      </c>
      <c r="F204" t="s">
        <v>884</v>
      </c>
    </row>
    <row r="205" spans="1:6" ht="15" x14ac:dyDescent="0.25">
      <c r="A205" t="s">
        <v>654</v>
      </c>
      <c r="B205" t="s">
        <v>143</v>
      </c>
      <c r="C205" s="88">
        <v>2</v>
      </c>
      <c r="D205" t="s">
        <v>282</v>
      </c>
      <c r="E205" t="s">
        <v>500</v>
      </c>
      <c r="F205" t="s">
        <v>450</v>
      </c>
    </row>
    <row r="206" spans="1:6" ht="15" x14ac:dyDescent="0.25">
      <c r="A206" t="s">
        <v>654</v>
      </c>
      <c r="B206" t="s">
        <v>171</v>
      </c>
      <c r="C206" s="88">
        <v>2</v>
      </c>
      <c r="D206" t="s">
        <v>282</v>
      </c>
      <c r="E206" t="s">
        <v>638</v>
      </c>
      <c r="F206" t="s">
        <v>450</v>
      </c>
    </row>
    <row r="207" spans="1:6" ht="15" x14ac:dyDescent="0.25">
      <c r="A207" t="s">
        <v>654</v>
      </c>
      <c r="B207" t="s">
        <v>154</v>
      </c>
      <c r="C207" s="88">
        <v>1</v>
      </c>
      <c r="D207" t="s">
        <v>282</v>
      </c>
      <c r="E207" t="s">
        <v>501</v>
      </c>
      <c r="F207" t="s">
        <v>452</v>
      </c>
    </row>
    <row r="208" spans="1:6" ht="15" x14ac:dyDescent="0.25">
      <c r="A208" t="s">
        <v>654</v>
      </c>
      <c r="B208" t="s">
        <v>3</v>
      </c>
      <c r="C208" s="88">
        <v>0</v>
      </c>
      <c r="D208" t="s">
        <v>282</v>
      </c>
      <c r="E208" t="s">
        <v>502</v>
      </c>
      <c r="F208" t="s">
        <v>448</v>
      </c>
    </row>
    <row r="209" spans="1:6" ht="15" x14ac:dyDescent="0.25">
      <c r="A209" t="s">
        <v>654</v>
      </c>
      <c r="B209" t="s">
        <v>167</v>
      </c>
      <c r="C209" s="88">
        <v>2</v>
      </c>
      <c r="D209" t="s">
        <v>282</v>
      </c>
      <c r="E209" t="s">
        <v>503</v>
      </c>
      <c r="F209" t="s">
        <v>450</v>
      </c>
    </row>
    <row r="210" spans="1:6" ht="15" x14ac:dyDescent="0.25">
      <c r="A210" t="s">
        <v>654</v>
      </c>
      <c r="B210" t="s">
        <v>6</v>
      </c>
      <c r="C210" s="88">
        <v>1</v>
      </c>
      <c r="D210" t="s">
        <v>282</v>
      </c>
      <c r="E210" t="s">
        <v>504</v>
      </c>
      <c r="F210" t="s">
        <v>452</v>
      </c>
    </row>
    <row r="211" spans="1:6" ht="15" x14ac:dyDescent="0.25">
      <c r="A211" t="s">
        <v>654</v>
      </c>
      <c r="B211" t="s">
        <v>140</v>
      </c>
      <c r="C211" s="88">
        <v>4</v>
      </c>
      <c r="D211" t="s">
        <v>282</v>
      </c>
      <c r="E211" t="s">
        <v>505</v>
      </c>
      <c r="F211" t="s">
        <v>847</v>
      </c>
    </row>
    <row r="212" spans="1:6" ht="15" x14ac:dyDescent="0.25">
      <c r="A212" t="s">
        <v>654</v>
      </c>
      <c r="B212" t="s">
        <v>163</v>
      </c>
      <c r="C212" s="88">
        <v>0</v>
      </c>
      <c r="D212" t="s">
        <v>282</v>
      </c>
      <c r="E212" t="s">
        <v>506</v>
      </c>
      <c r="F212" t="s">
        <v>448</v>
      </c>
    </row>
    <row r="213" spans="1:6" ht="15" x14ac:dyDescent="0.25">
      <c r="A213" t="s">
        <v>654</v>
      </c>
      <c r="B213" t="s">
        <v>0</v>
      </c>
      <c r="C213" s="88">
        <v>4</v>
      </c>
      <c r="D213" t="s">
        <v>282</v>
      </c>
      <c r="E213" t="s">
        <v>509</v>
      </c>
      <c r="F213" t="s">
        <v>847</v>
      </c>
    </row>
    <row r="214" spans="1:6" ht="15" x14ac:dyDescent="0.25">
      <c r="A214" t="s">
        <v>654</v>
      </c>
      <c r="B214" t="s">
        <v>140</v>
      </c>
      <c r="C214" s="88">
        <v>2</v>
      </c>
      <c r="D214" t="s">
        <v>282</v>
      </c>
      <c r="E214" t="s">
        <v>511</v>
      </c>
      <c r="F214" t="s">
        <v>450</v>
      </c>
    </row>
    <row r="215" spans="1:6" ht="15" x14ac:dyDescent="0.25">
      <c r="A215" t="s">
        <v>654</v>
      </c>
      <c r="B215" t="s">
        <v>6</v>
      </c>
      <c r="C215" s="88">
        <v>2</v>
      </c>
      <c r="D215" t="s">
        <v>282</v>
      </c>
      <c r="E215" t="s">
        <v>639</v>
      </c>
      <c r="F215" t="s">
        <v>450</v>
      </c>
    </row>
    <row r="216" spans="1:6" ht="15" x14ac:dyDescent="0.25">
      <c r="A216" t="s">
        <v>654</v>
      </c>
      <c r="B216" t="s">
        <v>167</v>
      </c>
      <c r="C216" s="88">
        <v>3</v>
      </c>
      <c r="D216" t="s">
        <v>282</v>
      </c>
      <c r="E216" t="s">
        <v>512</v>
      </c>
      <c r="F216" t="s">
        <v>884</v>
      </c>
    </row>
    <row r="217" spans="1:6" ht="15" x14ac:dyDescent="0.25">
      <c r="A217" t="s">
        <v>654</v>
      </c>
      <c r="B217" t="s">
        <v>147</v>
      </c>
      <c r="C217" s="88">
        <v>1</v>
      </c>
      <c r="D217" t="s">
        <v>282</v>
      </c>
      <c r="E217" t="s">
        <v>513</v>
      </c>
      <c r="F217" t="s">
        <v>452</v>
      </c>
    </row>
    <row r="218" spans="1:6" ht="15" x14ac:dyDescent="0.25">
      <c r="A218" t="s">
        <v>654</v>
      </c>
      <c r="B218" t="s">
        <v>8</v>
      </c>
      <c r="C218" s="88">
        <v>1</v>
      </c>
      <c r="D218" t="s">
        <v>282</v>
      </c>
      <c r="E218" t="s">
        <v>514</v>
      </c>
      <c r="F218" t="s">
        <v>452</v>
      </c>
    </row>
    <row r="219" spans="1:6" ht="15" x14ac:dyDescent="0.25">
      <c r="A219" t="s">
        <v>654</v>
      </c>
      <c r="B219" t="s">
        <v>0</v>
      </c>
      <c r="C219" s="88">
        <v>3</v>
      </c>
      <c r="D219" t="s">
        <v>282</v>
      </c>
      <c r="E219" t="s">
        <v>515</v>
      </c>
      <c r="F219" t="s">
        <v>884</v>
      </c>
    </row>
    <row r="220" spans="1:6" ht="15" x14ac:dyDescent="0.25">
      <c r="A220" t="s">
        <v>654</v>
      </c>
      <c r="B220" t="s">
        <v>6</v>
      </c>
      <c r="C220" s="88">
        <v>2</v>
      </c>
      <c r="D220" t="s">
        <v>282</v>
      </c>
      <c r="E220" t="s">
        <v>516</v>
      </c>
      <c r="F220" t="s">
        <v>450</v>
      </c>
    </row>
    <row r="221" spans="1:6" ht="15" x14ac:dyDescent="0.25">
      <c r="A221" t="s">
        <v>654</v>
      </c>
      <c r="B221" t="s">
        <v>9</v>
      </c>
      <c r="C221" s="88">
        <v>2</v>
      </c>
      <c r="D221" t="s">
        <v>282</v>
      </c>
      <c r="E221" t="s">
        <v>640</v>
      </c>
      <c r="F221" t="s">
        <v>450</v>
      </c>
    </row>
    <row r="222" spans="1:6" ht="15" x14ac:dyDescent="0.25">
      <c r="A222" t="s">
        <v>654</v>
      </c>
      <c r="B222" t="s">
        <v>163</v>
      </c>
      <c r="C222" s="88">
        <v>2</v>
      </c>
      <c r="D222" t="s">
        <v>282</v>
      </c>
      <c r="E222" t="s">
        <v>517</v>
      </c>
      <c r="F222" t="s">
        <v>450</v>
      </c>
    </row>
    <row r="223" spans="1:6" ht="15" x14ac:dyDescent="0.25">
      <c r="A223" t="s">
        <v>654</v>
      </c>
      <c r="B223" t="s">
        <v>137</v>
      </c>
      <c r="C223" s="88">
        <v>2</v>
      </c>
      <c r="D223" t="s">
        <v>282</v>
      </c>
      <c r="E223" t="s">
        <v>518</v>
      </c>
      <c r="F223" t="s">
        <v>450</v>
      </c>
    </row>
    <row r="224" spans="1:6" ht="15" x14ac:dyDescent="0.25">
      <c r="A224" t="s">
        <v>654</v>
      </c>
      <c r="B224" t="s">
        <v>143</v>
      </c>
      <c r="C224" s="88">
        <v>3</v>
      </c>
      <c r="D224" t="s">
        <v>282</v>
      </c>
      <c r="E224" t="s">
        <v>519</v>
      </c>
      <c r="F224" t="s">
        <v>884</v>
      </c>
    </row>
    <row r="225" spans="1:6" ht="15" x14ac:dyDescent="0.25">
      <c r="A225" t="s">
        <v>654</v>
      </c>
      <c r="B225" t="s">
        <v>157</v>
      </c>
      <c r="C225" s="88">
        <v>1</v>
      </c>
      <c r="D225" t="s">
        <v>282</v>
      </c>
      <c r="E225" t="s">
        <v>520</v>
      </c>
      <c r="F225" t="s">
        <v>452</v>
      </c>
    </row>
    <row r="226" spans="1:6" ht="15" x14ac:dyDescent="0.25">
      <c r="A226" t="s">
        <v>654</v>
      </c>
      <c r="B226" t="s">
        <v>171</v>
      </c>
      <c r="C226" s="88">
        <v>1</v>
      </c>
      <c r="D226" t="s">
        <v>282</v>
      </c>
      <c r="E226" t="s">
        <v>521</v>
      </c>
      <c r="F226" t="s">
        <v>452</v>
      </c>
    </row>
    <row r="227" spans="1:6" ht="15" x14ac:dyDescent="0.25">
      <c r="A227" t="s">
        <v>654</v>
      </c>
      <c r="B227" t="s">
        <v>151</v>
      </c>
      <c r="C227" s="88">
        <v>0</v>
      </c>
      <c r="D227" t="s">
        <v>282</v>
      </c>
      <c r="E227" t="s">
        <v>522</v>
      </c>
      <c r="F227" t="s">
        <v>448</v>
      </c>
    </row>
    <row r="228" spans="1:6" ht="15" x14ac:dyDescent="0.25">
      <c r="A228" t="s">
        <v>654</v>
      </c>
      <c r="B228" t="s">
        <v>4</v>
      </c>
      <c r="C228" s="88">
        <v>1</v>
      </c>
      <c r="D228" t="s">
        <v>282</v>
      </c>
      <c r="E228" t="s">
        <v>523</v>
      </c>
      <c r="F228" t="s">
        <v>452</v>
      </c>
    </row>
    <row r="229" spans="1:6" ht="15" x14ac:dyDescent="0.25">
      <c r="A229" t="s">
        <v>654</v>
      </c>
      <c r="B229" t="s">
        <v>3</v>
      </c>
      <c r="C229" s="88">
        <v>1</v>
      </c>
      <c r="D229" t="s">
        <v>282</v>
      </c>
      <c r="E229" t="s">
        <v>524</v>
      </c>
      <c r="F229" t="s">
        <v>452</v>
      </c>
    </row>
    <row r="230" spans="1:6" ht="15" x14ac:dyDescent="0.25">
      <c r="A230" t="s">
        <v>654</v>
      </c>
      <c r="B230" t="s">
        <v>147</v>
      </c>
      <c r="C230" s="88">
        <v>2</v>
      </c>
      <c r="D230" t="s">
        <v>282</v>
      </c>
      <c r="E230" t="s">
        <v>526</v>
      </c>
      <c r="F230" t="s">
        <v>450</v>
      </c>
    </row>
    <row r="231" spans="1:6" ht="15" x14ac:dyDescent="0.25">
      <c r="A231" t="s">
        <v>654</v>
      </c>
      <c r="B231" t="s">
        <v>9</v>
      </c>
      <c r="C231" s="88">
        <v>1</v>
      </c>
      <c r="D231" t="s">
        <v>282</v>
      </c>
      <c r="E231" t="s">
        <v>527</v>
      </c>
      <c r="F231" t="s">
        <v>452</v>
      </c>
    </row>
    <row r="232" spans="1:6" ht="15" x14ac:dyDescent="0.25">
      <c r="A232" t="s">
        <v>654</v>
      </c>
      <c r="B232" t="s">
        <v>140</v>
      </c>
      <c r="C232" s="88">
        <v>4</v>
      </c>
      <c r="D232" t="s">
        <v>282</v>
      </c>
      <c r="E232" t="s">
        <v>528</v>
      </c>
      <c r="F232" t="s">
        <v>847</v>
      </c>
    </row>
    <row r="233" spans="1:6" ht="15" x14ac:dyDescent="0.25">
      <c r="A233" t="s">
        <v>654</v>
      </c>
      <c r="B233" t="s">
        <v>151</v>
      </c>
      <c r="C233" s="88">
        <v>1</v>
      </c>
      <c r="D233" t="s">
        <v>282</v>
      </c>
      <c r="E233" t="s">
        <v>529</v>
      </c>
      <c r="F233" t="s">
        <v>452</v>
      </c>
    </row>
    <row r="234" spans="1:6" ht="15" x14ac:dyDescent="0.25">
      <c r="A234" t="s">
        <v>654</v>
      </c>
      <c r="B234" t="s">
        <v>9</v>
      </c>
      <c r="C234" s="88">
        <v>0</v>
      </c>
      <c r="D234" t="s">
        <v>282</v>
      </c>
      <c r="E234" t="s">
        <v>530</v>
      </c>
      <c r="F234" t="s">
        <v>448</v>
      </c>
    </row>
    <row r="235" spans="1:6" ht="15" x14ac:dyDescent="0.25">
      <c r="A235" t="s">
        <v>654</v>
      </c>
      <c r="B235" t="s">
        <v>0</v>
      </c>
      <c r="C235" s="88">
        <v>3</v>
      </c>
      <c r="D235" t="s">
        <v>282</v>
      </c>
      <c r="E235" t="s">
        <v>531</v>
      </c>
      <c r="F235" t="s">
        <v>884</v>
      </c>
    </row>
    <row r="236" spans="1:6" ht="15" x14ac:dyDescent="0.25">
      <c r="A236" t="s">
        <v>654</v>
      </c>
      <c r="B236" t="s">
        <v>137</v>
      </c>
      <c r="C236" s="88">
        <v>3</v>
      </c>
      <c r="D236" t="s">
        <v>282</v>
      </c>
      <c r="E236" t="s">
        <v>532</v>
      </c>
      <c r="F236" t="s">
        <v>884</v>
      </c>
    </row>
    <row r="237" spans="1:6" ht="15" x14ac:dyDescent="0.25">
      <c r="A237" t="s">
        <v>654</v>
      </c>
      <c r="B237" t="s">
        <v>163</v>
      </c>
      <c r="C237" s="88">
        <v>2</v>
      </c>
      <c r="D237" t="s">
        <v>282</v>
      </c>
      <c r="E237" t="s">
        <v>533</v>
      </c>
      <c r="F237" t="s">
        <v>450</v>
      </c>
    </row>
    <row r="238" spans="1:6" ht="15" x14ac:dyDescent="0.25">
      <c r="A238" t="s">
        <v>654</v>
      </c>
      <c r="B238" t="s">
        <v>157</v>
      </c>
      <c r="C238" s="88">
        <v>3</v>
      </c>
      <c r="D238" t="s">
        <v>282</v>
      </c>
      <c r="E238" t="s">
        <v>642</v>
      </c>
      <c r="F238" t="s">
        <v>884</v>
      </c>
    </row>
    <row r="239" spans="1:6" ht="15" x14ac:dyDescent="0.25">
      <c r="A239" t="s">
        <v>654</v>
      </c>
      <c r="B239" t="s">
        <v>8</v>
      </c>
      <c r="C239" s="88">
        <v>3</v>
      </c>
      <c r="D239" t="s">
        <v>282</v>
      </c>
      <c r="E239" t="s">
        <v>534</v>
      </c>
      <c r="F239" t="s">
        <v>884</v>
      </c>
    </row>
    <row r="240" spans="1:6" ht="15" x14ac:dyDescent="0.25">
      <c r="A240" t="s">
        <v>654</v>
      </c>
      <c r="B240" t="s">
        <v>154</v>
      </c>
      <c r="C240" s="88">
        <v>2</v>
      </c>
      <c r="D240" t="s">
        <v>282</v>
      </c>
      <c r="E240" t="s">
        <v>535</v>
      </c>
      <c r="F240" t="s">
        <v>450</v>
      </c>
    </row>
    <row r="241" spans="1:6" ht="15" x14ac:dyDescent="0.25">
      <c r="A241" t="s">
        <v>660</v>
      </c>
      <c r="B241" t="s">
        <v>663</v>
      </c>
      <c r="C241" s="88">
        <v>0</v>
      </c>
      <c r="D241" t="s">
        <v>282</v>
      </c>
      <c r="E241" t="s">
        <v>678</v>
      </c>
      <c r="F241" t="s">
        <v>291</v>
      </c>
    </row>
    <row r="242" spans="1:6" ht="15" x14ac:dyDescent="0.25">
      <c r="A242" t="s">
        <v>660</v>
      </c>
      <c r="B242" t="s">
        <v>289</v>
      </c>
      <c r="C242" s="88">
        <v>0</v>
      </c>
      <c r="D242" t="s">
        <v>282</v>
      </c>
      <c r="E242" t="s">
        <v>679</v>
      </c>
      <c r="F242" t="s">
        <v>314</v>
      </c>
    </row>
    <row r="243" spans="1:6" ht="15" x14ac:dyDescent="0.25">
      <c r="A243" t="s">
        <v>660</v>
      </c>
      <c r="B243" t="s">
        <v>666</v>
      </c>
      <c r="C243" s="88">
        <v>0</v>
      </c>
      <c r="D243" t="s">
        <v>282</v>
      </c>
      <c r="E243" t="s">
        <v>680</v>
      </c>
      <c r="F243" t="s">
        <v>314</v>
      </c>
    </row>
    <row r="244" spans="1:6" ht="15" x14ac:dyDescent="0.25">
      <c r="A244" t="s">
        <v>660</v>
      </c>
      <c r="B244" t="s">
        <v>664</v>
      </c>
      <c r="C244" s="88">
        <v>0</v>
      </c>
      <c r="D244" t="s">
        <v>282</v>
      </c>
      <c r="E244" t="s">
        <v>681</v>
      </c>
      <c r="F244" t="s">
        <v>291</v>
      </c>
    </row>
    <row r="245" spans="1:6" ht="15" x14ac:dyDescent="0.25">
      <c r="A245" t="s">
        <v>660</v>
      </c>
      <c r="B245" t="s">
        <v>665</v>
      </c>
      <c r="C245" s="88">
        <v>0</v>
      </c>
      <c r="D245" t="s">
        <v>282</v>
      </c>
      <c r="E245" t="s">
        <v>682</v>
      </c>
      <c r="F245" t="s">
        <v>291</v>
      </c>
    </row>
    <row r="246" spans="1:6" ht="15" x14ac:dyDescent="0.25">
      <c r="A246" t="s">
        <v>660</v>
      </c>
      <c r="B246" t="s">
        <v>667</v>
      </c>
      <c r="C246" s="88">
        <v>0</v>
      </c>
      <c r="D246" t="s">
        <v>282</v>
      </c>
      <c r="E246" t="s">
        <v>683</v>
      </c>
      <c r="F246" t="s">
        <v>291</v>
      </c>
    </row>
    <row r="247" spans="1:6" ht="15" x14ac:dyDescent="0.25">
      <c r="A247" t="s">
        <v>660</v>
      </c>
      <c r="B247" t="s">
        <v>661</v>
      </c>
      <c r="C247" s="88">
        <v>10</v>
      </c>
      <c r="D247" t="s">
        <v>282</v>
      </c>
      <c r="E247" t="s">
        <v>684</v>
      </c>
      <c r="F247" t="s">
        <v>314</v>
      </c>
    </row>
    <row r="248" spans="1:6" ht="15" x14ac:dyDescent="0.25">
      <c r="A248" t="s">
        <v>660</v>
      </c>
      <c r="B248" t="s">
        <v>662</v>
      </c>
      <c r="C248" s="88">
        <v>0</v>
      </c>
      <c r="D248" t="s">
        <v>282</v>
      </c>
      <c r="E248" t="s">
        <v>685</v>
      </c>
      <c r="F248" t="s">
        <v>291</v>
      </c>
    </row>
    <row r="249" spans="1:6" ht="15" x14ac:dyDescent="0.25">
      <c r="A249" t="s">
        <v>660</v>
      </c>
      <c r="B249" t="s">
        <v>668</v>
      </c>
      <c r="C249" s="88">
        <v>0</v>
      </c>
      <c r="D249" t="s">
        <v>282</v>
      </c>
      <c r="E249" t="s">
        <v>686</v>
      </c>
      <c r="F249" t="s">
        <v>291</v>
      </c>
    </row>
    <row r="250" spans="1:6" ht="15" x14ac:dyDescent="0.25">
      <c r="A250" t="s">
        <v>660</v>
      </c>
      <c r="B250" t="s">
        <v>669</v>
      </c>
      <c r="C250" s="88">
        <v>0</v>
      </c>
      <c r="D250" t="s">
        <v>282</v>
      </c>
      <c r="E250" t="s">
        <v>687</v>
      </c>
      <c r="F250" t="s">
        <v>291</v>
      </c>
    </row>
    <row r="251" spans="1:6" ht="15" x14ac:dyDescent="0.25">
      <c r="A251" t="s">
        <v>660</v>
      </c>
      <c r="B251" t="s">
        <v>672</v>
      </c>
      <c r="C251" s="88">
        <v>0</v>
      </c>
      <c r="D251" t="s">
        <v>282</v>
      </c>
      <c r="E251" t="s">
        <v>690</v>
      </c>
      <c r="F251" t="s">
        <v>291</v>
      </c>
    </row>
    <row r="252" spans="1:6" ht="15" x14ac:dyDescent="0.25">
      <c r="A252" t="s">
        <v>660</v>
      </c>
      <c r="B252" t="s">
        <v>663</v>
      </c>
      <c r="C252" s="88">
        <v>0</v>
      </c>
      <c r="D252" t="s">
        <v>282</v>
      </c>
      <c r="E252" t="s">
        <v>691</v>
      </c>
      <c r="F252" t="s">
        <v>291</v>
      </c>
    </row>
    <row r="253" spans="1:6" ht="15" x14ac:dyDescent="0.25">
      <c r="A253" t="s">
        <v>660</v>
      </c>
      <c r="B253" t="s">
        <v>666</v>
      </c>
      <c r="C253" s="88">
        <v>0</v>
      </c>
      <c r="D253" t="s">
        <v>282</v>
      </c>
      <c r="E253" t="s">
        <v>692</v>
      </c>
      <c r="F253" t="s">
        <v>291</v>
      </c>
    </row>
    <row r="254" spans="1:6" ht="15" x14ac:dyDescent="0.25">
      <c r="A254" t="s">
        <v>660</v>
      </c>
      <c r="B254" t="s">
        <v>664</v>
      </c>
      <c r="C254" s="88">
        <v>5</v>
      </c>
      <c r="D254" t="s">
        <v>282</v>
      </c>
      <c r="E254" t="s">
        <v>693</v>
      </c>
      <c r="F254" t="s">
        <v>314</v>
      </c>
    </row>
    <row r="255" spans="1:6" ht="15" x14ac:dyDescent="0.25">
      <c r="A255" t="s">
        <v>660</v>
      </c>
      <c r="B255" t="s">
        <v>665</v>
      </c>
      <c r="C255" s="88">
        <v>0</v>
      </c>
      <c r="D255" t="s">
        <v>282</v>
      </c>
      <c r="E255" t="s">
        <v>694</v>
      </c>
      <c r="F255" t="s">
        <v>291</v>
      </c>
    </row>
    <row r="256" spans="1:6" ht="15" x14ac:dyDescent="0.25">
      <c r="A256" t="s">
        <v>660</v>
      </c>
      <c r="B256" t="s">
        <v>667</v>
      </c>
      <c r="C256" s="88">
        <v>0</v>
      </c>
      <c r="D256" t="s">
        <v>282</v>
      </c>
      <c r="E256" t="s">
        <v>756</v>
      </c>
      <c r="F256" t="s">
        <v>314</v>
      </c>
    </row>
    <row r="257" spans="1:6" ht="15" x14ac:dyDescent="0.25">
      <c r="A257" t="s">
        <v>660</v>
      </c>
      <c r="B257" t="s">
        <v>661</v>
      </c>
      <c r="C257" s="88">
        <v>3</v>
      </c>
      <c r="D257" t="s">
        <v>282</v>
      </c>
      <c r="E257" t="s">
        <v>673</v>
      </c>
      <c r="F257" t="s">
        <v>291</v>
      </c>
    </row>
    <row r="258" spans="1:6" ht="15" x14ac:dyDescent="0.25">
      <c r="A258" t="s">
        <v>660</v>
      </c>
      <c r="B258" t="s">
        <v>662</v>
      </c>
      <c r="C258" s="88">
        <v>0</v>
      </c>
      <c r="D258" t="s">
        <v>282</v>
      </c>
      <c r="E258" t="s">
        <v>674</v>
      </c>
      <c r="F258" t="s">
        <v>291</v>
      </c>
    </row>
    <row r="259" spans="1:6" ht="15" x14ac:dyDescent="0.25">
      <c r="A259" t="s">
        <v>660</v>
      </c>
      <c r="B259" t="s">
        <v>669</v>
      </c>
      <c r="C259" s="88">
        <v>0</v>
      </c>
      <c r="D259" t="s">
        <v>282</v>
      </c>
      <c r="E259" t="s">
        <v>695</v>
      </c>
      <c r="F259" t="s">
        <v>291</v>
      </c>
    </row>
    <row r="260" spans="1:6" ht="15" x14ac:dyDescent="0.25">
      <c r="A260" t="s">
        <v>660</v>
      </c>
      <c r="B260" t="s">
        <v>289</v>
      </c>
      <c r="C260" s="88">
        <v>0</v>
      </c>
      <c r="D260" t="s">
        <v>282</v>
      </c>
      <c r="E260" t="s">
        <v>696</v>
      </c>
      <c r="F260" t="s">
        <v>314</v>
      </c>
    </row>
    <row r="261" spans="1:6" ht="15" x14ac:dyDescent="0.25">
      <c r="A261" t="s">
        <v>660</v>
      </c>
      <c r="B261" t="s">
        <v>670</v>
      </c>
      <c r="C261" s="88">
        <v>3</v>
      </c>
      <c r="D261" t="s">
        <v>282</v>
      </c>
      <c r="E261" t="s">
        <v>697</v>
      </c>
      <c r="F261" t="s">
        <v>314</v>
      </c>
    </row>
    <row r="262" spans="1:6" ht="15" x14ac:dyDescent="0.25">
      <c r="A262" t="s">
        <v>660</v>
      </c>
      <c r="B262" t="s">
        <v>671</v>
      </c>
      <c r="C262" s="88">
        <v>0</v>
      </c>
      <c r="D262" t="s">
        <v>282</v>
      </c>
      <c r="E262" t="s">
        <v>698</v>
      </c>
      <c r="F262" t="s">
        <v>291</v>
      </c>
    </row>
    <row r="263" spans="1:6" ht="15" x14ac:dyDescent="0.25">
      <c r="A263" t="s">
        <v>660</v>
      </c>
      <c r="B263" t="s">
        <v>672</v>
      </c>
      <c r="C263" s="88">
        <v>0</v>
      </c>
      <c r="D263" t="s">
        <v>282</v>
      </c>
      <c r="E263" t="s">
        <v>699</v>
      </c>
      <c r="F263" t="s">
        <v>291</v>
      </c>
    </row>
    <row r="264" spans="1:6" ht="15" x14ac:dyDescent="0.25">
      <c r="A264" t="s">
        <v>660</v>
      </c>
      <c r="B264" t="s">
        <v>663</v>
      </c>
      <c r="C264" s="88">
        <v>0</v>
      </c>
      <c r="D264" t="s">
        <v>282</v>
      </c>
      <c r="E264" t="s">
        <v>700</v>
      </c>
      <c r="F264" t="s">
        <v>291</v>
      </c>
    </row>
    <row r="265" spans="1:6" ht="15" x14ac:dyDescent="0.25">
      <c r="A265" t="s">
        <v>660</v>
      </c>
      <c r="B265" t="s">
        <v>666</v>
      </c>
      <c r="C265" s="88">
        <v>0</v>
      </c>
      <c r="D265" t="s">
        <v>282</v>
      </c>
      <c r="E265" t="s">
        <v>701</v>
      </c>
      <c r="F265" t="s">
        <v>291</v>
      </c>
    </row>
    <row r="266" spans="1:6" ht="15" x14ac:dyDescent="0.25">
      <c r="A266" t="s">
        <v>660</v>
      </c>
      <c r="B266" t="s">
        <v>664</v>
      </c>
      <c r="C266" s="88">
        <v>0</v>
      </c>
      <c r="D266" t="s">
        <v>282</v>
      </c>
      <c r="E266" t="s">
        <v>702</v>
      </c>
      <c r="F266" t="s">
        <v>291</v>
      </c>
    </row>
    <row r="267" spans="1:6" ht="15" x14ac:dyDescent="0.25">
      <c r="A267" t="s">
        <v>660</v>
      </c>
      <c r="B267" t="s">
        <v>665</v>
      </c>
      <c r="C267" s="88">
        <v>0</v>
      </c>
      <c r="D267" t="s">
        <v>282</v>
      </c>
      <c r="E267" t="s">
        <v>758</v>
      </c>
      <c r="F267" t="s">
        <v>291</v>
      </c>
    </row>
    <row r="268" spans="1:6" ht="15" x14ac:dyDescent="0.25">
      <c r="A268" t="s">
        <v>660</v>
      </c>
      <c r="B268" t="s">
        <v>667</v>
      </c>
      <c r="C268" s="88">
        <v>10</v>
      </c>
      <c r="D268" t="s">
        <v>282</v>
      </c>
      <c r="E268" t="s">
        <v>703</v>
      </c>
      <c r="F268" t="s">
        <v>314</v>
      </c>
    </row>
    <row r="269" spans="1:6" ht="15" x14ac:dyDescent="0.25">
      <c r="A269" t="s">
        <v>660</v>
      </c>
      <c r="B269" t="s">
        <v>661</v>
      </c>
      <c r="C269" s="88">
        <v>0</v>
      </c>
      <c r="D269" t="s">
        <v>282</v>
      </c>
      <c r="E269" t="s">
        <v>704</v>
      </c>
      <c r="F269" t="s">
        <v>291</v>
      </c>
    </row>
    <row r="270" spans="1:6" ht="15" x14ac:dyDescent="0.25">
      <c r="A270" t="s">
        <v>660</v>
      </c>
      <c r="B270" t="s">
        <v>662</v>
      </c>
      <c r="C270" s="88">
        <v>0</v>
      </c>
      <c r="D270" t="s">
        <v>282</v>
      </c>
      <c r="E270" t="s">
        <v>705</v>
      </c>
      <c r="F270" t="s">
        <v>314</v>
      </c>
    </row>
    <row r="271" spans="1:6" ht="15" x14ac:dyDescent="0.25">
      <c r="A271" t="s">
        <v>660</v>
      </c>
      <c r="B271" t="s">
        <v>668</v>
      </c>
      <c r="C271" s="88">
        <v>0</v>
      </c>
      <c r="D271" t="s">
        <v>282</v>
      </c>
      <c r="E271" t="s">
        <v>706</v>
      </c>
      <c r="F271" t="s">
        <v>291</v>
      </c>
    </row>
    <row r="272" spans="1:6" ht="15" x14ac:dyDescent="0.25">
      <c r="A272" t="s">
        <v>660</v>
      </c>
      <c r="B272" t="s">
        <v>669</v>
      </c>
      <c r="C272" s="88">
        <v>0</v>
      </c>
      <c r="D272" t="s">
        <v>282</v>
      </c>
      <c r="E272" t="s">
        <v>707</v>
      </c>
      <c r="F272" t="s">
        <v>291</v>
      </c>
    </row>
    <row r="273" spans="1:6" ht="15" x14ac:dyDescent="0.25">
      <c r="A273" t="s">
        <v>660</v>
      </c>
      <c r="B273" t="s">
        <v>670</v>
      </c>
      <c r="C273" s="88">
        <v>2</v>
      </c>
      <c r="D273" t="s">
        <v>282</v>
      </c>
      <c r="E273" t="s">
        <v>708</v>
      </c>
      <c r="F273" t="s">
        <v>291</v>
      </c>
    </row>
    <row r="274" spans="1:6" ht="15" x14ac:dyDescent="0.25">
      <c r="A274" t="s">
        <v>660</v>
      </c>
      <c r="B274" t="s">
        <v>671</v>
      </c>
      <c r="C274" s="88">
        <v>3</v>
      </c>
      <c r="D274" t="s">
        <v>282</v>
      </c>
      <c r="E274" t="s">
        <v>709</v>
      </c>
      <c r="F274" t="s">
        <v>314</v>
      </c>
    </row>
    <row r="275" spans="1:6" ht="15" x14ac:dyDescent="0.25">
      <c r="A275" t="s">
        <v>660</v>
      </c>
      <c r="B275" t="s">
        <v>672</v>
      </c>
      <c r="C275" s="88">
        <v>0</v>
      </c>
      <c r="D275" t="s">
        <v>282</v>
      </c>
      <c r="E275" t="s">
        <v>710</v>
      </c>
      <c r="F275" t="s">
        <v>291</v>
      </c>
    </row>
    <row r="276" spans="1:6" ht="15" x14ac:dyDescent="0.25">
      <c r="A276" t="s">
        <v>660</v>
      </c>
      <c r="B276" t="s">
        <v>663</v>
      </c>
      <c r="C276" s="88">
        <v>0</v>
      </c>
      <c r="D276" t="s">
        <v>282</v>
      </c>
      <c r="E276" t="s">
        <v>711</v>
      </c>
      <c r="F276" t="s">
        <v>314</v>
      </c>
    </row>
    <row r="277" spans="1:6" ht="15" x14ac:dyDescent="0.25">
      <c r="A277" t="s">
        <v>660</v>
      </c>
      <c r="B277" t="s">
        <v>666</v>
      </c>
      <c r="C277" s="88">
        <v>10</v>
      </c>
      <c r="D277" t="s">
        <v>282</v>
      </c>
      <c r="E277" t="s">
        <v>712</v>
      </c>
      <c r="F277" t="s">
        <v>291</v>
      </c>
    </row>
    <row r="278" spans="1:6" ht="15" x14ac:dyDescent="0.25">
      <c r="A278" t="s">
        <v>660</v>
      </c>
      <c r="B278" t="s">
        <v>664</v>
      </c>
      <c r="C278" s="88">
        <v>0</v>
      </c>
      <c r="D278" t="s">
        <v>282</v>
      </c>
      <c r="E278" t="s">
        <v>713</v>
      </c>
      <c r="F278" t="s">
        <v>291</v>
      </c>
    </row>
    <row r="279" spans="1:6" ht="15" x14ac:dyDescent="0.25">
      <c r="A279" t="s">
        <v>660</v>
      </c>
      <c r="B279" t="s">
        <v>665</v>
      </c>
      <c r="C279" s="88">
        <v>0</v>
      </c>
      <c r="D279" t="s">
        <v>282</v>
      </c>
      <c r="E279" t="s">
        <v>714</v>
      </c>
      <c r="F279" t="s">
        <v>291</v>
      </c>
    </row>
    <row r="280" spans="1:6" ht="15" x14ac:dyDescent="0.25">
      <c r="A280" t="s">
        <v>660</v>
      </c>
      <c r="B280" t="s">
        <v>668</v>
      </c>
      <c r="C280" s="88">
        <v>0</v>
      </c>
      <c r="D280" t="s">
        <v>282</v>
      </c>
      <c r="E280" t="s">
        <v>718</v>
      </c>
      <c r="F280" t="s">
        <v>314</v>
      </c>
    </row>
    <row r="281" spans="1:6" ht="15" x14ac:dyDescent="0.25">
      <c r="A281" t="s">
        <v>660</v>
      </c>
      <c r="B281" t="s">
        <v>669</v>
      </c>
      <c r="C281" s="88">
        <v>0</v>
      </c>
      <c r="D281" t="s">
        <v>282</v>
      </c>
      <c r="E281" t="s">
        <v>719</v>
      </c>
      <c r="F281" t="s">
        <v>314</v>
      </c>
    </row>
    <row r="282" spans="1:6" ht="15" x14ac:dyDescent="0.25">
      <c r="A282" t="s">
        <v>660</v>
      </c>
      <c r="B282" t="s">
        <v>670</v>
      </c>
      <c r="C282" s="88">
        <v>0</v>
      </c>
      <c r="D282" t="s">
        <v>282</v>
      </c>
      <c r="E282" t="s">
        <v>720</v>
      </c>
      <c r="F282" t="s">
        <v>291</v>
      </c>
    </row>
    <row r="283" spans="1:6" ht="15" x14ac:dyDescent="0.25">
      <c r="A283" t="s">
        <v>660</v>
      </c>
      <c r="B283" t="s">
        <v>671</v>
      </c>
      <c r="C283" s="88">
        <v>0</v>
      </c>
      <c r="D283" t="s">
        <v>282</v>
      </c>
      <c r="E283" t="s">
        <v>721</v>
      </c>
      <c r="F283" t="s">
        <v>291</v>
      </c>
    </row>
    <row r="284" spans="1:6" ht="15" x14ac:dyDescent="0.25">
      <c r="A284" t="s">
        <v>660</v>
      </c>
      <c r="B284" t="s">
        <v>672</v>
      </c>
      <c r="C284" s="88">
        <v>3</v>
      </c>
      <c r="D284" t="s">
        <v>282</v>
      </c>
      <c r="E284" t="s">
        <v>722</v>
      </c>
      <c r="F284" t="s">
        <v>314</v>
      </c>
    </row>
    <row r="285" spans="1:6" ht="15" x14ac:dyDescent="0.25">
      <c r="A285" t="s">
        <v>660</v>
      </c>
      <c r="B285" t="s">
        <v>289</v>
      </c>
      <c r="C285" s="88">
        <v>2</v>
      </c>
      <c r="D285" t="s">
        <v>282</v>
      </c>
      <c r="E285" t="s">
        <v>723</v>
      </c>
      <c r="F285" t="s">
        <v>314</v>
      </c>
    </row>
    <row r="286" spans="1:6" ht="15" x14ac:dyDescent="0.25">
      <c r="A286" t="s">
        <v>660</v>
      </c>
      <c r="B286" t="s">
        <v>663</v>
      </c>
      <c r="C286" s="88">
        <v>0</v>
      </c>
      <c r="D286" t="s">
        <v>282</v>
      </c>
      <c r="E286" t="s">
        <v>675</v>
      </c>
      <c r="F286" t="s">
        <v>291</v>
      </c>
    </row>
    <row r="287" spans="1:6" ht="15" x14ac:dyDescent="0.25">
      <c r="A287" t="s">
        <v>660</v>
      </c>
      <c r="B287" t="s">
        <v>666</v>
      </c>
      <c r="C287" s="88">
        <v>0</v>
      </c>
      <c r="D287" t="s">
        <v>282</v>
      </c>
      <c r="E287" t="s">
        <v>759</v>
      </c>
      <c r="F287" t="s">
        <v>314</v>
      </c>
    </row>
    <row r="288" spans="1:6" ht="15" x14ac:dyDescent="0.25">
      <c r="A288" t="s">
        <v>660</v>
      </c>
      <c r="B288" t="s">
        <v>664</v>
      </c>
      <c r="C288" s="88">
        <v>0</v>
      </c>
      <c r="D288" t="s">
        <v>282</v>
      </c>
      <c r="E288" t="s">
        <v>676</v>
      </c>
      <c r="F288" t="s">
        <v>291</v>
      </c>
    </row>
    <row r="289" spans="1:6" ht="15" x14ac:dyDescent="0.25">
      <c r="A289" t="s">
        <v>660</v>
      </c>
      <c r="B289" t="s">
        <v>665</v>
      </c>
      <c r="C289" s="88">
        <v>0</v>
      </c>
      <c r="D289" t="s">
        <v>282</v>
      </c>
      <c r="E289" t="s">
        <v>677</v>
      </c>
      <c r="F289" t="s">
        <v>291</v>
      </c>
    </row>
    <row r="290" spans="1:6" ht="15" x14ac:dyDescent="0.25">
      <c r="A290" t="s">
        <v>660</v>
      </c>
      <c r="B290" t="s">
        <v>661</v>
      </c>
      <c r="C290" s="88">
        <v>0</v>
      </c>
      <c r="D290" t="s">
        <v>282</v>
      </c>
      <c r="E290" t="s">
        <v>724</v>
      </c>
      <c r="F290" t="s">
        <v>314</v>
      </c>
    </row>
    <row r="291" spans="1:6" ht="15" x14ac:dyDescent="0.25">
      <c r="A291" t="s">
        <v>660</v>
      </c>
      <c r="B291" t="s">
        <v>662</v>
      </c>
      <c r="C291" s="88">
        <v>0</v>
      </c>
      <c r="D291" t="s">
        <v>282</v>
      </c>
      <c r="E291" t="s">
        <v>725</v>
      </c>
      <c r="F291" t="s">
        <v>291</v>
      </c>
    </row>
    <row r="292" spans="1:6" ht="15" x14ac:dyDescent="0.25">
      <c r="A292" t="s">
        <v>660</v>
      </c>
      <c r="B292" t="s">
        <v>668</v>
      </c>
      <c r="C292" s="88">
        <v>0</v>
      </c>
      <c r="D292" t="s">
        <v>282</v>
      </c>
      <c r="E292" t="s">
        <v>726</v>
      </c>
      <c r="F292" t="s">
        <v>291</v>
      </c>
    </row>
    <row r="293" spans="1:6" ht="15" x14ac:dyDescent="0.25">
      <c r="A293" t="s">
        <v>660</v>
      </c>
      <c r="B293" t="s">
        <v>669</v>
      </c>
      <c r="C293" s="88">
        <v>0</v>
      </c>
      <c r="D293" t="s">
        <v>282</v>
      </c>
      <c r="E293" t="s">
        <v>727</v>
      </c>
      <c r="F293" t="s">
        <v>291</v>
      </c>
    </row>
    <row r="294" spans="1:6" ht="15" x14ac:dyDescent="0.25">
      <c r="A294" t="s">
        <v>660</v>
      </c>
      <c r="B294" t="s">
        <v>670</v>
      </c>
      <c r="C294" s="88">
        <v>0</v>
      </c>
      <c r="D294" t="s">
        <v>282</v>
      </c>
      <c r="E294" t="s">
        <v>728</v>
      </c>
      <c r="F294" t="s">
        <v>291</v>
      </c>
    </row>
    <row r="295" spans="1:6" ht="15" x14ac:dyDescent="0.25">
      <c r="A295" t="s">
        <v>660</v>
      </c>
      <c r="B295" t="s">
        <v>671</v>
      </c>
      <c r="C295" s="88">
        <v>0</v>
      </c>
      <c r="D295" t="s">
        <v>282</v>
      </c>
      <c r="E295" t="s">
        <v>729</v>
      </c>
      <c r="F295" t="s">
        <v>291</v>
      </c>
    </row>
    <row r="296" spans="1:6" ht="15" x14ac:dyDescent="0.25">
      <c r="A296" t="s">
        <v>660</v>
      </c>
      <c r="B296" t="s">
        <v>672</v>
      </c>
      <c r="C296" s="88">
        <v>0</v>
      </c>
      <c r="D296" t="s">
        <v>282</v>
      </c>
      <c r="E296" t="s">
        <v>730</v>
      </c>
      <c r="F296" t="s">
        <v>291</v>
      </c>
    </row>
    <row r="297" spans="1:6" ht="15" x14ac:dyDescent="0.25">
      <c r="A297" t="s">
        <v>660</v>
      </c>
      <c r="B297" t="s">
        <v>663</v>
      </c>
      <c r="C297" s="88">
        <v>0</v>
      </c>
      <c r="D297" t="s">
        <v>282</v>
      </c>
      <c r="E297" t="s">
        <v>731</v>
      </c>
      <c r="F297" t="s">
        <v>291</v>
      </c>
    </row>
    <row r="298" spans="1:6" ht="15" x14ac:dyDescent="0.25">
      <c r="A298" t="s">
        <v>660</v>
      </c>
      <c r="B298" t="s">
        <v>666</v>
      </c>
      <c r="C298" s="88">
        <v>5</v>
      </c>
      <c r="D298" t="s">
        <v>282</v>
      </c>
      <c r="E298" t="s">
        <v>732</v>
      </c>
      <c r="F298" t="s">
        <v>314</v>
      </c>
    </row>
    <row r="299" spans="1:6" ht="15" x14ac:dyDescent="0.25">
      <c r="A299" t="s">
        <v>660</v>
      </c>
      <c r="B299" t="s">
        <v>664</v>
      </c>
      <c r="C299" s="88">
        <v>0</v>
      </c>
      <c r="D299" t="s">
        <v>282</v>
      </c>
      <c r="E299" t="s">
        <v>733</v>
      </c>
      <c r="F299" t="s">
        <v>291</v>
      </c>
    </row>
    <row r="300" spans="1:6" ht="15" x14ac:dyDescent="0.25">
      <c r="A300" t="s">
        <v>660</v>
      </c>
      <c r="B300" t="s">
        <v>665</v>
      </c>
      <c r="C300" s="88">
        <v>0</v>
      </c>
      <c r="D300" t="s">
        <v>282</v>
      </c>
      <c r="E300" t="s">
        <v>734</v>
      </c>
      <c r="F300" t="s">
        <v>291</v>
      </c>
    </row>
    <row r="301" spans="1:6" ht="15" x14ac:dyDescent="0.25">
      <c r="A301" t="s">
        <v>660</v>
      </c>
      <c r="B301" t="s">
        <v>667</v>
      </c>
      <c r="C301" s="88">
        <v>0</v>
      </c>
      <c r="D301" t="s">
        <v>282</v>
      </c>
      <c r="E301" t="s">
        <v>735</v>
      </c>
      <c r="F301" t="s">
        <v>291</v>
      </c>
    </row>
    <row r="302" spans="1:6" ht="15" x14ac:dyDescent="0.25">
      <c r="A302" t="s">
        <v>660</v>
      </c>
      <c r="B302" t="s">
        <v>661</v>
      </c>
      <c r="C302" s="88">
        <v>0</v>
      </c>
      <c r="D302" t="s">
        <v>282</v>
      </c>
      <c r="E302" t="s">
        <v>736</v>
      </c>
      <c r="F302" t="s">
        <v>291</v>
      </c>
    </row>
    <row r="303" spans="1:6" ht="15" x14ac:dyDescent="0.25">
      <c r="A303" t="s">
        <v>660</v>
      </c>
      <c r="B303" t="s">
        <v>662</v>
      </c>
      <c r="C303" s="88">
        <v>0</v>
      </c>
      <c r="D303" t="s">
        <v>282</v>
      </c>
      <c r="E303" t="s">
        <v>737</v>
      </c>
      <c r="F303" t="s">
        <v>291</v>
      </c>
    </row>
    <row r="304" spans="1:6" ht="15" x14ac:dyDescent="0.25">
      <c r="A304" t="s">
        <v>660</v>
      </c>
      <c r="B304" t="s">
        <v>668</v>
      </c>
      <c r="C304" s="88">
        <v>0</v>
      </c>
      <c r="D304" t="s">
        <v>282</v>
      </c>
      <c r="E304" t="s">
        <v>738</v>
      </c>
      <c r="F304" t="s">
        <v>291</v>
      </c>
    </row>
    <row r="305" spans="1:6" ht="15" x14ac:dyDescent="0.25">
      <c r="A305" t="s">
        <v>660</v>
      </c>
      <c r="B305" t="s">
        <v>289</v>
      </c>
      <c r="C305" s="88">
        <v>0</v>
      </c>
      <c r="D305" t="s">
        <v>282</v>
      </c>
      <c r="E305" t="s">
        <v>739</v>
      </c>
      <c r="F305" t="s">
        <v>314</v>
      </c>
    </row>
    <row r="306" spans="1:6" ht="15" x14ac:dyDescent="0.25">
      <c r="A306" t="s">
        <v>660</v>
      </c>
      <c r="B306" t="s">
        <v>669</v>
      </c>
      <c r="C306" s="88">
        <v>0</v>
      </c>
      <c r="D306" t="s">
        <v>282</v>
      </c>
      <c r="E306" t="s">
        <v>740</v>
      </c>
      <c r="F306" t="s">
        <v>314</v>
      </c>
    </row>
    <row r="307" spans="1:6" ht="15" x14ac:dyDescent="0.25">
      <c r="A307" t="s">
        <v>660</v>
      </c>
      <c r="B307" t="s">
        <v>670</v>
      </c>
      <c r="C307" s="88">
        <v>0</v>
      </c>
      <c r="D307" t="s">
        <v>282</v>
      </c>
      <c r="E307" t="s">
        <v>741</v>
      </c>
      <c r="F307" t="s">
        <v>291</v>
      </c>
    </row>
    <row r="308" spans="1:6" ht="15" x14ac:dyDescent="0.25">
      <c r="A308" t="s">
        <v>660</v>
      </c>
      <c r="B308" t="s">
        <v>671</v>
      </c>
      <c r="C308" s="88">
        <v>0</v>
      </c>
      <c r="D308" t="s">
        <v>282</v>
      </c>
      <c r="E308" t="s">
        <v>742</v>
      </c>
      <c r="F308" t="s">
        <v>291</v>
      </c>
    </row>
    <row r="309" spans="1:6" ht="15" x14ac:dyDescent="0.25">
      <c r="A309" t="s">
        <v>660</v>
      </c>
      <c r="B309" t="s">
        <v>672</v>
      </c>
      <c r="C309" s="88">
        <v>0</v>
      </c>
      <c r="D309" t="s">
        <v>282</v>
      </c>
      <c r="E309" t="s">
        <v>743</v>
      </c>
      <c r="F309" t="s">
        <v>291</v>
      </c>
    </row>
    <row r="310" spans="1:6" ht="15" x14ac:dyDescent="0.25">
      <c r="A310" t="s">
        <v>660</v>
      </c>
      <c r="B310" t="s">
        <v>663</v>
      </c>
      <c r="C310" s="88">
        <v>0</v>
      </c>
      <c r="D310" t="s">
        <v>282</v>
      </c>
      <c r="E310" t="s">
        <v>744</v>
      </c>
      <c r="F310" t="s">
        <v>314</v>
      </c>
    </row>
    <row r="311" spans="1:6" ht="15" x14ac:dyDescent="0.25">
      <c r="A311" t="s">
        <v>660</v>
      </c>
      <c r="B311" t="s">
        <v>666</v>
      </c>
      <c r="C311" s="88">
        <v>3</v>
      </c>
      <c r="D311" t="s">
        <v>282</v>
      </c>
      <c r="E311" t="s">
        <v>745</v>
      </c>
      <c r="F311" t="s">
        <v>314</v>
      </c>
    </row>
    <row r="312" spans="1:6" ht="15" x14ac:dyDescent="0.25">
      <c r="A312" t="s">
        <v>660</v>
      </c>
      <c r="B312" t="s">
        <v>664</v>
      </c>
      <c r="C312" s="88">
        <v>0</v>
      </c>
      <c r="D312" t="s">
        <v>282</v>
      </c>
      <c r="E312" t="s">
        <v>746</v>
      </c>
      <c r="F312" t="s">
        <v>314</v>
      </c>
    </row>
    <row r="313" spans="1:6" ht="15" x14ac:dyDescent="0.25">
      <c r="A313" t="s">
        <v>660</v>
      </c>
      <c r="B313" t="s">
        <v>662</v>
      </c>
      <c r="C313" s="88">
        <v>0</v>
      </c>
      <c r="D313" t="s">
        <v>282</v>
      </c>
      <c r="E313" t="s">
        <v>749</v>
      </c>
      <c r="F313" t="s">
        <v>314</v>
      </c>
    </row>
    <row r="314" spans="1:6" ht="15" x14ac:dyDescent="0.25">
      <c r="A314" t="s">
        <v>660</v>
      </c>
      <c r="B314" t="s">
        <v>668</v>
      </c>
      <c r="C314" s="88">
        <v>10</v>
      </c>
      <c r="D314" t="s">
        <v>282</v>
      </c>
      <c r="E314" t="s">
        <v>750</v>
      </c>
      <c r="F314" t="s">
        <v>314</v>
      </c>
    </row>
    <row r="315" spans="1:6" ht="15" x14ac:dyDescent="0.25">
      <c r="A315" t="s">
        <v>660</v>
      </c>
      <c r="B315" t="s">
        <v>669</v>
      </c>
      <c r="C315" s="88">
        <v>0</v>
      </c>
      <c r="D315" t="s">
        <v>282</v>
      </c>
      <c r="E315" t="s">
        <v>751</v>
      </c>
      <c r="F315" t="s">
        <v>291</v>
      </c>
    </row>
    <row r="316" spans="1:6" ht="15" x14ac:dyDescent="0.25">
      <c r="A316" t="s">
        <v>660</v>
      </c>
      <c r="B316" t="s">
        <v>670</v>
      </c>
      <c r="C316" s="88">
        <v>10</v>
      </c>
      <c r="D316" t="s">
        <v>282</v>
      </c>
      <c r="E316" t="s">
        <v>752</v>
      </c>
      <c r="F316" t="s">
        <v>314</v>
      </c>
    </row>
    <row r="317" spans="1:6" ht="15" x14ac:dyDescent="0.25">
      <c r="A317" t="s">
        <v>660</v>
      </c>
      <c r="B317" t="s">
        <v>289</v>
      </c>
      <c r="C317" s="88">
        <v>2</v>
      </c>
      <c r="D317" t="s">
        <v>282</v>
      </c>
      <c r="E317" t="s">
        <v>753</v>
      </c>
      <c r="F317" t="s">
        <v>314</v>
      </c>
    </row>
    <row r="318" spans="1:6" ht="15" x14ac:dyDescent="0.25">
      <c r="A318" t="s">
        <v>660</v>
      </c>
      <c r="B318" t="s">
        <v>671</v>
      </c>
      <c r="C318" s="88">
        <v>10</v>
      </c>
      <c r="D318" t="s">
        <v>282</v>
      </c>
      <c r="E318" t="s">
        <v>754</v>
      </c>
      <c r="F318" t="s">
        <v>314</v>
      </c>
    </row>
    <row r="319" spans="1:6" ht="15" x14ac:dyDescent="0.25">
      <c r="A319" t="s">
        <v>660</v>
      </c>
      <c r="B319" t="s">
        <v>672</v>
      </c>
      <c r="C319" s="88">
        <v>0</v>
      </c>
      <c r="D319" t="s">
        <v>282</v>
      </c>
      <c r="E319" t="s">
        <v>755</v>
      </c>
      <c r="F319" t="s">
        <v>291</v>
      </c>
    </row>
    <row r="320" spans="1:6" ht="15" x14ac:dyDescent="0.25">
      <c r="A320" t="s">
        <v>653</v>
      </c>
      <c r="B320" t="s">
        <v>19</v>
      </c>
      <c r="C320" s="88">
        <v>2</v>
      </c>
      <c r="D320" t="s">
        <v>282</v>
      </c>
      <c r="E320" t="s">
        <v>536</v>
      </c>
      <c r="F320" t="s">
        <v>314</v>
      </c>
    </row>
    <row r="321" spans="1:6" ht="15" x14ac:dyDescent="0.25">
      <c r="A321" t="s">
        <v>653</v>
      </c>
      <c r="B321" t="s">
        <v>477</v>
      </c>
      <c r="C321" s="88">
        <v>2</v>
      </c>
      <c r="D321" t="s">
        <v>282</v>
      </c>
      <c r="E321" t="s">
        <v>478</v>
      </c>
      <c r="F321" t="s">
        <v>314</v>
      </c>
    </row>
    <row r="322" spans="1:6" ht="15" x14ac:dyDescent="0.25">
      <c r="A322" t="s">
        <v>653</v>
      </c>
      <c r="B322" t="s">
        <v>18</v>
      </c>
      <c r="C322" s="88">
        <v>1</v>
      </c>
      <c r="D322" t="s">
        <v>282</v>
      </c>
      <c r="E322" t="s">
        <v>537</v>
      </c>
      <c r="F322" t="s">
        <v>293</v>
      </c>
    </row>
    <row r="323" spans="1:6" ht="15" x14ac:dyDescent="0.25">
      <c r="A323" t="s">
        <v>653</v>
      </c>
      <c r="B323" t="s">
        <v>477</v>
      </c>
      <c r="C323" s="88">
        <v>0</v>
      </c>
      <c r="D323" t="s">
        <v>282</v>
      </c>
      <c r="E323" t="s">
        <v>538</v>
      </c>
      <c r="F323" t="s">
        <v>291</v>
      </c>
    </row>
    <row r="324" spans="1:6" ht="15" x14ac:dyDescent="0.25">
      <c r="A324" t="s">
        <v>653</v>
      </c>
      <c r="B324" t="s">
        <v>23</v>
      </c>
      <c r="C324" s="88">
        <v>2</v>
      </c>
      <c r="D324" t="s">
        <v>282</v>
      </c>
      <c r="E324" t="s">
        <v>643</v>
      </c>
      <c r="F324" t="s">
        <v>314</v>
      </c>
    </row>
    <row r="325" spans="1:6" ht="15" x14ac:dyDescent="0.25">
      <c r="A325" t="s">
        <v>653</v>
      </c>
      <c r="B325" t="s">
        <v>192</v>
      </c>
      <c r="C325" s="88">
        <v>2</v>
      </c>
      <c r="D325" t="s">
        <v>282</v>
      </c>
      <c r="E325" t="s">
        <v>539</v>
      </c>
      <c r="F325" t="s">
        <v>314</v>
      </c>
    </row>
    <row r="326" spans="1:6" ht="15" x14ac:dyDescent="0.25">
      <c r="A326" t="s">
        <v>653</v>
      </c>
      <c r="B326" t="s">
        <v>194</v>
      </c>
      <c r="C326" s="88">
        <v>1</v>
      </c>
      <c r="D326" t="s">
        <v>282</v>
      </c>
      <c r="E326" t="s">
        <v>644</v>
      </c>
      <c r="F326" t="s">
        <v>293</v>
      </c>
    </row>
    <row r="327" spans="1:6" ht="15" x14ac:dyDescent="0.25">
      <c r="A327" t="s">
        <v>653</v>
      </c>
      <c r="B327" t="s">
        <v>289</v>
      </c>
      <c r="C327" s="88">
        <v>0</v>
      </c>
      <c r="D327" t="s">
        <v>282</v>
      </c>
      <c r="E327" t="s">
        <v>540</v>
      </c>
      <c r="F327" t="s">
        <v>291</v>
      </c>
    </row>
    <row r="328" spans="1:6" ht="15" x14ac:dyDescent="0.25">
      <c r="A328" t="s">
        <v>653</v>
      </c>
      <c r="B328" t="s">
        <v>193</v>
      </c>
      <c r="C328" s="88">
        <v>0</v>
      </c>
      <c r="D328" t="s">
        <v>282</v>
      </c>
      <c r="E328" t="s">
        <v>541</v>
      </c>
      <c r="F328" t="s">
        <v>291</v>
      </c>
    </row>
    <row r="329" spans="1:6" ht="15" x14ac:dyDescent="0.25">
      <c r="A329" t="s">
        <v>653</v>
      </c>
      <c r="B329" t="s">
        <v>192</v>
      </c>
      <c r="C329" s="88">
        <v>2</v>
      </c>
      <c r="D329" t="s">
        <v>282</v>
      </c>
      <c r="E329" t="s">
        <v>542</v>
      </c>
      <c r="F329" t="s">
        <v>314</v>
      </c>
    </row>
    <row r="330" spans="1:6" ht="15" x14ac:dyDescent="0.25">
      <c r="A330" t="s">
        <v>653</v>
      </c>
      <c r="B330" t="s">
        <v>18</v>
      </c>
      <c r="C330" s="88">
        <v>1</v>
      </c>
      <c r="D330" t="s">
        <v>282</v>
      </c>
      <c r="E330" t="s">
        <v>543</v>
      </c>
      <c r="F330" t="s">
        <v>293</v>
      </c>
    </row>
    <row r="331" spans="1:6" ht="15" x14ac:dyDescent="0.25">
      <c r="A331" t="s">
        <v>653</v>
      </c>
      <c r="B331" t="s">
        <v>19</v>
      </c>
      <c r="C331" s="88">
        <v>2</v>
      </c>
      <c r="D331" t="s">
        <v>282</v>
      </c>
      <c r="E331" t="s">
        <v>544</v>
      </c>
      <c r="F331" t="s">
        <v>314</v>
      </c>
    </row>
    <row r="332" spans="1:6" ht="15" x14ac:dyDescent="0.25">
      <c r="A332" t="s">
        <v>653</v>
      </c>
      <c r="B332" t="s">
        <v>194</v>
      </c>
      <c r="C332" s="88">
        <v>2</v>
      </c>
      <c r="D332" t="s">
        <v>282</v>
      </c>
      <c r="E332" t="s">
        <v>545</v>
      </c>
      <c r="F332" t="s">
        <v>314</v>
      </c>
    </row>
    <row r="333" spans="1:6" ht="15" x14ac:dyDescent="0.25">
      <c r="A333" t="s">
        <v>653</v>
      </c>
      <c r="B333" t="s">
        <v>477</v>
      </c>
      <c r="C333" s="88">
        <v>1</v>
      </c>
      <c r="D333" t="s">
        <v>282</v>
      </c>
      <c r="E333" t="s">
        <v>546</v>
      </c>
      <c r="F333" t="s">
        <v>293</v>
      </c>
    </row>
    <row r="334" spans="1:6" ht="15" x14ac:dyDescent="0.25">
      <c r="A334" t="s">
        <v>653</v>
      </c>
      <c r="B334" t="s">
        <v>192</v>
      </c>
      <c r="C334" s="88">
        <v>1</v>
      </c>
      <c r="D334" t="s">
        <v>282</v>
      </c>
      <c r="E334" t="s">
        <v>547</v>
      </c>
      <c r="F334" t="s">
        <v>293</v>
      </c>
    </row>
    <row r="335" spans="1:6" ht="15" x14ac:dyDescent="0.25">
      <c r="A335" t="s">
        <v>653</v>
      </c>
      <c r="B335" t="s">
        <v>289</v>
      </c>
      <c r="C335" s="88">
        <v>0</v>
      </c>
      <c r="D335" t="s">
        <v>282</v>
      </c>
      <c r="E335" t="s">
        <v>548</v>
      </c>
      <c r="F335" t="s">
        <v>314</v>
      </c>
    </row>
    <row r="336" spans="1:6" ht="15" x14ac:dyDescent="0.25">
      <c r="A336" t="s">
        <v>653</v>
      </c>
      <c r="B336" t="s">
        <v>193</v>
      </c>
      <c r="C336" s="88">
        <v>1</v>
      </c>
      <c r="D336" t="s">
        <v>282</v>
      </c>
      <c r="E336" t="s">
        <v>549</v>
      </c>
      <c r="F336" t="s">
        <v>293</v>
      </c>
    </row>
    <row r="337" spans="1:6" ht="15" x14ac:dyDescent="0.25">
      <c r="A337" t="s">
        <v>653</v>
      </c>
      <c r="B337" t="s">
        <v>19</v>
      </c>
      <c r="C337" s="88">
        <v>2</v>
      </c>
      <c r="D337" t="s">
        <v>282</v>
      </c>
      <c r="E337" t="s">
        <v>550</v>
      </c>
      <c r="F337" t="s">
        <v>314</v>
      </c>
    </row>
    <row r="338" spans="1:6" ht="15" x14ac:dyDescent="0.25">
      <c r="A338" t="s">
        <v>653</v>
      </c>
      <c r="B338" t="s">
        <v>21</v>
      </c>
      <c r="C338" s="88">
        <v>2</v>
      </c>
      <c r="D338" t="s">
        <v>282</v>
      </c>
      <c r="E338" t="s">
        <v>551</v>
      </c>
      <c r="F338" t="s">
        <v>314</v>
      </c>
    </row>
    <row r="339" spans="1:6" ht="15" x14ac:dyDescent="0.25">
      <c r="A339" t="s">
        <v>653</v>
      </c>
      <c r="B339" t="s">
        <v>192</v>
      </c>
      <c r="C339" s="88">
        <v>0</v>
      </c>
      <c r="D339" t="s">
        <v>282</v>
      </c>
      <c r="E339" t="s">
        <v>552</v>
      </c>
      <c r="F339" t="s">
        <v>291</v>
      </c>
    </row>
    <row r="340" spans="1:6" ht="15" x14ac:dyDescent="0.25">
      <c r="A340" t="s">
        <v>653</v>
      </c>
      <c r="B340" t="s">
        <v>23</v>
      </c>
      <c r="C340" s="88">
        <v>0</v>
      </c>
      <c r="D340" t="s">
        <v>282</v>
      </c>
      <c r="E340" t="s">
        <v>553</v>
      </c>
      <c r="F340" t="s">
        <v>291</v>
      </c>
    </row>
    <row r="341" spans="1:6" ht="15" x14ac:dyDescent="0.25">
      <c r="A341" t="s">
        <v>653</v>
      </c>
      <c r="B341" t="s">
        <v>19</v>
      </c>
      <c r="C341" s="88">
        <v>2</v>
      </c>
      <c r="D341" t="s">
        <v>282</v>
      </c>
      <c r="E341" t="s">
        <v>554</v>
      </c>
      <c r="F341" t="s">
        <v>314</v>
      </c>
    </row>
    <row r="342" spans="1:6" ht="15" x14ac:dyDescent="0.25">
      <c r="A342" t="s">
        <v>653</v>
      </c>
      <c r="B342" t="s">
        <v>193</v>
      </c>
      <c r="C342" s="88">
        <v>0</v>
      </c>
      <c r="D342" t="s">
        <v>282</v>
      </c>
      <c r="E342" t="s">
        <v>555</v>
      </c>
      <c r="F342" t="s">
        <v>314</v>
      </c>
    </row>
    <row r="343" spans="1:6" ht="15" x14ac:dyDescent="0.25">
      <c r="A343" t="s">
        <v>653</v>
      </c>
      <c r="B343" t="s">
        <v>16</v>
      </c>
      <c r="C343" s="88">
        <v>2</v>
      </c>
      <c r="D343" t="s">
        <v>282</v>
      </c>
      <c r="E343" t="s">
        <v>556</v>
      </c>
      <c r="F343" t="s">
        <v>314</v>
      </c>
    </row>
    <row r="344" spans="1:6" ht="15" x14ac:dyDescent="0.25">
      <c r="A344" t="s">
        <v>653</v>
      </c>
      <c r="B344" t="s">
        <v>477</v>
      </c>
      <c r="C344" s="88">
        <v>0</v>
      </c>
      <c r="D344" t="s">
        <v>282</v>
      </c>
      <c r="E344" t="s">
        <v>558</v>
      </c>
      <c r="F344" t="s">
        <v>314</v>
      </c>
    </row>
    <row r="345" spans="1:6" ht="15" x14ac:dyDescent="0.25">
      <c r="A345" t="s">
        <v>653</v>
      </c>
      <c r="B345" t="s">
        <v>193</v>
      </c>
      <c r="C345" s="88">
        <v>1</v>
      </c>
      <c r="D345" t="s">
        <v>282</v>
      </c>
      <c r="E345" t="s">
        <v>559</v>
      </c>
      <c r="F345" t="s">
        <v>293</v>
      </c>
    </row>
    <row r="346" spans="1:6" ht="15" x14ac:dyDescent="0.25">
      <c r="A346" t="s">
        <v>653</v>
      </c>
      <c r="B346" t="s">
        <v>18</v>
      </c>
      <c r="C346" s="88">
        <v>0</v>
      </c>
      <c r="D346" t="s">
        <v>282</v>
      </c>
      <c r="E346" t="s">
        <v>560</v>
      </c>
      <c r="F346" t="s">
        <v>937</v>
      </c>
    </row>
    <row r="347" spans="1:6" ht="15" x14ac:dyDescent="0.25">
      <c r="A347" t="s">
        <v>653</v>
      </c>
      <c r="B347" t="s">
        <v>194</v>
      </c>
      <c r="C347" s="88">
        <v>2</v>
      </c>
      <c r="D347" t="s">
        <v>282</v>
      </c>
      <c r="E347" t="s">
        <v>561</v>
      </c>
      <c r="F347" t="s">
        <v>314</v>
      </c>
    </row>
    <row r="348" spans="1:6" ht="15" x14ac:dyDescent="0.25">
      <c r="A348" t="s">
        <v>653</v>
      </c>
      <c r="B348" t="s">
        <v>289</v>
      </c>
      <c r="C348" s="88">
        <v>2</v>
      </c>
      <c r="D348" t="s">
        <v>282</v>
      </c>
      <c r="E348" t="s">
        <v>562</v>
      </c>
      <c r="F348" t="s">
        <v>291</v>
      </c>
    </row>
    <row r="349" spans="1:6" ht="15" x14ac:dyDescent="0.25">
      <c r="A349" t="s">
        <v>653</v>
      </c>
      <c r="B349" t="s">
        <v>18</v>
      </c>
      <c r="C349" s="88">
        <v>2</v>
      </c>
      <c r="D349" t="s">
        <v>282</v>
      </c>
      <c r="E349" t="s">
        <v>563</v>
      </c>
      <c r="F349" t="s">
        <v>314</v>
      </c>
    </row>
    <row r="350" spans="1:6" ht="15" x14ac:dyDescent="0.25">
      <c r="A350" t="s">
        <v>653</v>
      </c>
      <c r="B350" t="s">
        <v>21</v>
      </c>
      <c r="C350" s="88">
        <v>0</v>
      </c>
      <c r="D350" t="s">
        <v>282</v>
      </c>
      <c r="E350" t="s">
        <v>564</v>
      </c>
      <c r="F350" t="s">
        <v>865</v>
      </c>
    </row>
    <row r="351" spans="1:6" ht="15" x14ac:dyDescent="0.25">
      <c r="A351" t="s">
        <v>653</v>
      </c>
      <c r="B351" t="s">
        <v>194</v>
      </c>
      <c r="C351" s="88">
        <v>0</v>
      </c>
      <c r="D351" t="s">
        <v>282</v>
      </c>
      <c r="E351" t="s">
        <v>565</v>
      </c>
      <c r="F351" t="s">
        <v>291</v>
      </c>
    </row>
    <row r="352" spans="1:6" ht="15" x14ac:dyDescent="0.25">
      <c r="A352" t="s">
        <v>653</v>
      </c>
      <c r="B352" t="s">
        <v>477</v>
      </c>
      <c r="C352" s="88">
        <v>2</v>
      </c>
      <c r="D352" t="s">
        <v>282</v>
      </c>
      <c r="E352" t="s">
        <v>646</v>
      </c>
      <c r="F352" t="s">
        <v>314</v>
      </c>
    </row>
    <row r="353" spans="1:6" ht="15" x14ac:dyDescent="0.25">
      <c r="A353" t="s">
        <v>653</v>
      </c>
      <c r="B353" t="s">
        <v>19</v>
      </c>
      <c r="C353" s="88">
        <v>2</v>
      </c>
      <c r="D353" t="s">
        <v>282</v>
      </c>
      <c r="E353" t="s">
        <v>566</v>
      </c>
      <c r="F353" t="s">
        <v>314</v>
      </c>
    </row>
    <row r="354" spans="1:6" ht="15" x14ac:dyDescent="0.25">
      <c r="A354" t="s">
        <v>653</v>
      </c>
      <c r="B354" t="s">
        <v>21</v>
      </c>
      <c r="C354" s="88">
        <v>2</v>
      </c>
      <c r="D354" t="s">
        <v>282</v>
      </c>
      <c r="E354" t="s">
        <v>567</v>
      </c>
      <c r="F354" t="s">
        <v>314</v>
      </c>
    </row>
    <row r="355" spans="1:6" ht="15" x14ac:dyDescent="0.25">
      <c r="A355" t="s">
        <v>653</v>
      </c>
      <c r="B355" t="s">
        <v>194</v>
      </c>
      <c r="C355" s="88">
        <v>1</v>
      </c>
      <c r="D355" t="s">
        <v>282</v>
      </c>
      <c r="E355" t="s">
        <v>568</v>
      </c>
      <c r="F355" t="s">
        <v>293</v>
      </c>
    </row>
    <row r="356" spans="1:6" ht="15" x14ac:dyDescent="0.25">
      <c r="A356" t="s">
        <v>653</v>
      </c>
      <c r="B356" t="s">
        <v>21</v>
      </c>
      <c r="C356" s="88">
        <v>2</v>
      </c>
      <c r="D356" t="s">
        <v>282</v>
      </c>
      <c r="E356" t="s">
        <v>569</v>
      </c>
      <c r="F356" t="s">
        <v>314</v>
      </c>
    </row>
    <row r="357" spans="1:6" ht="15" x14ac:dyDescent="0.25">
      <c r="A357" t="s">
        <v>653</v>
      </c>
      <c r="B357" t="s">
        <v>192</v>
      </c>
      <c r="C357" s="88">
        <v>2</v>
      </c>
      <c r="D357" t="s">
        <v>282</v>
      </c>
      <c r="E357" t="s">
        <v>570</v>
      </c>
      <c r="F357" t="s">
        <v>314</v>
      </c>
    </row>
    <row r="358" spans="1:6" ht="15" x14ac:dyDescent="0.25">
      <c r="A358" t="s">
        <v>653</v>
      </c>
      <c r="B358" t="s">
        <v>289</v>
      </c>
      <c r="C358" s="88">
        <v>0</v>
      </c>
      <c r="D358" t="s">
        <v>282</v>
      </c>
      <c r="E358" t="s">
        <v>571</v>
      </c>
      <c r="F358" t="s">
        <v>314</v>
      </c>
    </row>
    <row r="359" spans="1:6" ht="15" x14ac:dyDescent="0.25">
      <c r="A359" t="s">
        <v>653</v>
      </c>
      <c r="B359" t="s">
        <v>19</v>
      </c>
      <c r="C359" s="88">
        <v>1</v>
      </c>
      <c r="D359" t="s">
        <v>282</v>
      </c>
      <c r="E359" t="s">
        <v>572</v>
      </c>
      <c r="F359" t="s">
        <v>293</v>
      </c>
    </row>
    <row r="360" spans="1:6" ht="15" x14ac:dyDescent="0.25">
      <c r="A360" t="s">
        <v>653</v>
      </c>
      <c r="B360" t="s">
        <v>21</v>
      </c>
      <c r="C360" s="88">
        <v>0</v>
      </c>
      <c r="D360" t="s">
        <v>282</v>
      </c>
      <c r="E360" t="s">
        <v>573</v>
      </c>
      <c r="F360" t="s">
        <v>314</v>
      </c>
    </row>
    <row r="361" spans="1:6" ht="15" x14ac:dyDescent="0.25">
      <c r="A361" t="s">
        <v>653</v>
      </c>
      <c r="B361" t="s">
        <v>23</v>
      </c>
      <c r="C361" s="88">
        <v>1</v>
      </c>
      <c r="D361" t="s">
        <v>282</v>
      </c>
      <c r="E361" t="s">
        <v>574</v>
      </c>
      <c r="F361" t="s">
        <v>293</v>
      </c>
    </row>
    <row r="362" spans="1:6" ht="15" x14ac:dyDescent="0.25">
      <c r="A362" t="s">
        <v>653</v>
      </c>
      <c r="B362" t="s">
        <v>16</v>
      </c>
      <c r="C362" s="88">
        <v>2</v>
      </c>
      <c r="D362" t="s">
        <v>282</v>
      </c>
      <c r="E362" t="s">
        <v>575</v>
      </c>
      <c r="F362" t="s">
        <v>314</v>
      </c>
    </row>
    <row r="363" spans="1:6" ht="15" x14ac:dyDescent="0.25">
      <c r="A363" t="s">
        <v>653</v>
      </c>
      <c r="B363" t="s">
        <v>23</v>
      </c>
      <c r="C363" s="88">
        <v>0</v>
      </c>
      <c r="D363" t="s">
        <v>282</v>
      </c>
      <c r="E363" t="s">
        <v>576</v>
      </c>
      <c r="F363" t="s">
        <v>291</v>
      </c>
    </row>
    <row r="364" spans="1:6" ht="15" x14ac:dyDescent="0.25">
      <c r="A364" t="s">
        <v>653</v>
      </c>
      <c r="B364" t="s">
        <v>289</v>
      </c>
      <c r="C364" s="88">
        <v>0</v>
      </c>
      <c r="D364" t="s">
        <v>282</v>
      </c>
      <c r="E364" t="s">
        <v>577</v>
      </c>
      <c r="F364" t="s">
        <v>314</v>
      </c>
    </row>
    <row r="365" spans="1:6" ht="15" x14ac:dyDescent="0.25">
      <c r="A365" t="s">
        <v>653</v>
      </c>
      <c r="B365" t="s">
        <v>18</v>
      </c>
      <c r="C365" s="88">
        <v>2</v>
      </c>
      <c r="D365" t="s">
        <v>282</v>
      </c>
      <c r="E365" t="s">
        <v>578</v>
      </c>
      <c r="F365" t="s">
        <v>314</v>
      </c>
    </row>
    <row r="366" spans="1:6" ht="15" x14ac:dyDescent="0.25">
      <c r="A366" t="s">
        <v>653</v>
      </c>
      <c r="B366" t="s">
        <v>18</v>
      </c>
      <c r="C366" s="88">
        <v>0</v>
      </c>
      <c r="D366" t="s">
        <v>282</v>
      </c>
      <c r="E366" t="s">
        <v>579</v>
      </c>
      <c r="F366" t="s">
        <v>291</v>
      </c>
    </row>
    <row r="367" spans="1:6" ht="15" x14ac:dyDescent="0.25">
      <c r="A367" t="s">
        <v>653</v>
      </c>
      <c r="B367" t="s">
        <v>193</v>
      </c>
      <c r="C367" s="88">
        <v>2</v>
      </c>
      <c r="D367" t="s">
        <v>282</v>
      </c>
      <c r="E367" t="s">
        <v>580</v>
      </c>
      <c r="F367" t="s">
        <v>314</v>
      </c>
    </row>
    <row r="368" spans="1:6" ht="15" x14ac:dyDescent="0.25">
      <c r="A368" t="s">
        <v>653</v>
      </c>
      <c r="B368" t="s">
        <v>194</v>
      </c>
      <c r="C368" s="88">
        <v>2</v>
      </c>
      <c r="D368" t="s">
        <v>282</v>
      </c>
      <c r="E368" t="s">
        <v>647</v>
      </c>
      <c r="F368" t="s">
        <v>314</v>
      </c>
    </row>
    <row r="369" spans="1:6" ht="15" x14ac:dyDescent="0.25">
      <c r="A369" t="s">
        <v>653</v>
      </c>
      <c r="B369" t="s">
        <v>23</v>
      </c>
      <c r="C369" s="88">
        <v>0</v>
      </c>
      <c r="D369" t="s">
        <v>282</v>
      </c>
      <c r="E369" t="s">
        <v>581</v>
      </c>
      <c r="F369" t="s">
        <v>291</v>
      </c>
    </row>
    <row r="370" spans="1:6" ht="15" x14ac:dyDescent="0.25">
      <c r="A370" t="s">
        <v>653</v>
      </c>
      <c r="B370" t="s">
        <v>193</v>
      </c>
      <c r="C370" s="88">
        <v>0</v>
      </c>
      <c r="D370" t="s">
        <v>282</v>
      </c>
      <c r="E370" t="s">
        <v>582</v>
      </c>
      <c r="F370" t="s">
        <v>291</v>
      </c>
    </row>
    <row r="371" spans="1:6" ht="15" x14ac:dyDescent="0.25">
      <c r="A371" t="s">
        <v>653</v>
      </c>
      <c r="B371" t="s">
        <v>477</v>
      </c>
      <c r="C371" s="88">
        <v>2</v>
      </c>
      <c r="D371" t="s">
        <v>282</v>
      </c>
      <c r="E371" t="s">
        <v>583</v>
      </c>
      <c r="F371" t="s">
        <v>314</v>
      </c>
    </row>
    <row r="372" spans="1:6" ht="15" x14ac:dyDescent="0.25">
      <c r="A372" t="s">
        <v>653</v>
      </c>
      <c r="B372" t="s">
        <v>192</v>
      </c>
      <c r="C372" s="88">
        <v>1</v>
      </c>
      <c r="D372" t="s">
        <v>282</v>
      </c>
      <c r="E372" t="s">
        <v>584</v>
      </c>
      <c r="F372" t="s">
        <v>293</v>
      </c>
    </row>
    <row r="373" spans="1:6" ht="15" x14ac:dyDescent="0.25">
      <c r="A373" t="s">
        <v>653</v>
      </c>
      <c r="B373" t="s">
        <v>192</v>
      </c>
      <c r="C373" s="88">
        <v>2</v>
      </c>
      <c r="D373" t="s">
        <v>282</v>
      </c>
      <c r="E373" t="s">
        <v>590</v>
      </c>
      <c r="F373" t="s">
        <v>314</v>
      </c>
    </row>
    <row r="374" spans="1:6" ht="15" x14ac:dyDescent="0.25">
      <c r="A374" t="s">
        <v>653</v>
      </c>
      <c r="B374" t="s">
        <v>21</v>
      </c>
      <c r="C374" s="88">
        <v>1</v>
      </c>
      <c r="D374" t="s">
        <v>282</v>
      </c>
      <c r="E374" t="s">
        <v>591</v>
      </c>
      <c r="F374" t="s">
        <v>293</v>
      </c>
    </row>
    <row r="375" spans="1:6" ht="15" x14ac:dyDescent="0.25">
      <c r="A375" t="s">
        <v>653</v>
      </c>
      <c r="B375" t="s">
        <v>190</v>
      </c>
      <c r="C375" s="88">
        <v>2</v>
      </c>
      <c r="D375" t="s">
        <v>282</v>
      </c>
      <c r="E375" t="s">
        <v>592</v>
      </c>
      <c r="F375" t="s">
        <v>291</v>
      </c>
    </row>
    <row r="376" spans="1:6" ht="15" x14ac:dyDescent="0.25">
      <c r="A376" t="s">
        <v>653</v>
      </c>
      <c r="B376" t="s">
        <v>190</v>
      </c>
      <c r="C376" s="88">
        <v>0</v>
      </c>
      <c r="D376" t="s">
        <v>282</v>
      </c>
      <c r="E376" t="s">
        <v>593</v>
      </c>
      <c r="F376" t="s">
        <v>291</v>
      </c>
    </row>
    <row r="377" spans="1:6" ht="15" x14ac:dyDescent="0.25">
      <c r="A377" t="s">
        <v>653</v>
      </c>
      <c r="B377" t="s">
        <v>23</v>
      </c>
      <c r="C377" s="88">
        <v>0</v>
      </c>
      <c r="D377" t="s">
        <v>282</v>
      </c>
      <c r="E377" t="s">
        <v>594</v>
      </c>
      <c r="F377" t="s">
        <v>314</v>
      </c>
    </row>
    <row r="378" spans="1:6" ht="15" x14ac:dyDescent="0.25">
      <c r="A378" t="s">
        <v>653</v>
      </c>
      <c r="B378" t="s">
        <v>289</v>
      </c>
      <c r="C378" s="88">
        <v>2</v>
      </c>
      <c r="D378" t="s">
        <v>282</v>
      </c>
      <c r="E378" t="s">
        <v>595</v>
      </c>
      <c r="F378" t="s">
        <v>291</v>
      </c>
    </row>
    <row r="379" spans="1:6" ht="15" x14ac:dyDescent="0.25">
      <c r="A379" t="s">
        <v>653</v>
      </c>
      <c r="B379" t="s">
        <v>16</v>
      </c>
      <c r="C379" s="88">
        <v>0</v>
      </c>
      <c r="D379" t="s">
        <v>282</v>
      </c>
      <c r="E379" t="s">
        <v>656</v>
      </c>
      <c r="F379" t="s">
        <v>314</v>
      </c>
    </row>
    <row r="380" spans="1:6" ht="15" x14ac:dyDescent="0.25">
      <c r="A380" t="s">
        <v>653</v>
      </c>
      <c r="B380" t="s">
        <v>18</v>
      </c>
      <c r="C380" s="88">
        <v>1</v>
      </c>
      <c r="D380" t="s">
        <v>282</v>
      </c>
      <c r="E380" t="s">
        <v>596</v>
      </c>
      <c r="F380" t="s">
        <v>293</v>
      </c>
    </row>
    <row r="381" spans="1:6" ht="15" x14ac:dyDescent="0.25">
      <c r="A381" t="s">
        <v>653</v>
      </c>
      <c r="B381" t="s">
        <v>194</v>
      </c>
      <c r="C381" s="88">
        <v>0</v>
      </c>
      <c r="D381" t="s">
        <v>282</v>
      </c>
      <c r="E381" t="s">
        <v>597</v>
      </c>
      <c r="F381" t="s">
        <v>291</v>
      </c>
    </row>
    <row r="382" spans="1:6" ht="15" x14ac:dyDescent="0.25">
      <c r="A382" t="s">
        <v>653</v>
      </c>
      <c r="B382" t="s">
        <v>477</v>
      </c>
      <c r="C382" s="88">
        <v>0</v>
      </c>
      <c r="D382" t="s">
        <v>282</v>
      </c>
      <c r="E382" t="s">
        <v>598</v>
      </c>
      <c r="F382" t="s">
        <v>291</v>
      </c>
    </row>
    <row r="383" spans="1:6" ht="15" x14ac:dyDescent="0.25">
      <c r="A383" t="s">
        <v>653</v>
      </c>
      <c r="B383" t="s">
        <v>190</v>
      </c>
      <c r="C383" s="88">
        <v>0</v>
      </c>
      <c r="D383" t="s">
        <v>282</v>
      </c>
      <c r="E383" t="s">
        <v>599</v>
      </c>
      <c r="F383" t="s">
        <v>291</v>
      </c>
    </row>
    <row r="384" spans="1:6" ht="15" x14ac:dyDescent="0.25">
      <c r="A384" t="s">
        <v>653</v>
      </c>
      <c r="B384" t="s">
        <v>16</v>
      </c>
      <c r="C384" s="88">
        <v>0</v>
      </c>
      <c r="D384" t="s">
        <v>282</v>
      </c>
      <c r="E384" t="s">
        <v>600</v>
      </c>
      <c r="F384" t="s">
        <v>291</v>
      </c>
    </row>
    <row r="385" spans="1:6" ht="15" x14ac:dyDescent="0.25">
      <c r="A385" t="s">
        <v>653</v>
      </c>
      <c r="B385" t="s">
        <v>16</v>
      </c>
      <c r="C385" s="88">
        <v>0</v>
      </c>
      <c r="D385" t="s">
        <v>282</v>
      </c>
      <c r="E385" t="s">
        <v>648</v>
      </c>
      <c r="F385" t="s">
        <v>291</v>
      </c>
    </row>
    <row r="386" spans="1:6" ht="15" x14ac:dyDescent="0.25">
      <c r="A386" t="s">
        <v>653</v>
      </c>
      <c r="B386" t="s">
        <v>190</v>
      </c>
      <c r="C386" s="88">
        <v>2</v>
      </c>
      <c r="D386" t="s">
        <v>282</v>
      </c>
      <c r="E386" t="s">
        <v>601</v>
      </c>
      <c r="F386" t="s">
        <v>314</v>
      </c>
    </row>
    <row r="387" spans="1:6" ht="15" x14ac:dyDescent="0.25">
      <c r="A387" t="s">
        <v>653</v>
      </c>
      <c r="B387" t="s">
        <v>477</v>
      </c>
      <c r="C387" s="88">
        <v>2</v>
      </c>
      <c r="D387" t="s">
        <v>282</v>
      </c>
      <c r="E387" t="s">
        <v>602</v>
      </c>
      <c r="F387" t="s">
        <v>314</v>
      </c>
    </row>
    <row r="388" spans="1:6" ht="15" x14ac:dyDescent="0.25">
      <c r="A388" t="s">
        <v>653</v>
      </c>
      <c r="B388" t="s">
        <v>16</v>
      </c>
      <c r="C388" s="88">
        <v>1</v>
      </c>
      <c r="D388" t="s">
        <v>282</v>
      </c>
      <c r="E388" t="s">
        <v>603</v>
      </c>
      <c r="F388" t="s">
        <v>293</v>
      </c>
    </row>
    <row r="389" spans="1:6" ht="15" x14ac:dyDescent="0.25">
      <c r="A389" t="s">
        <v>653</v>
      </c>
      <c r="B389" t="s">
        <v>289</v>
      </c>
      <c r="C389" s="88">
        <v>2</v>
      </c>
      <c r="D389" t="s">
        <v>282</v>
      </c>
      <c r="E389" t="s">
        <v>604</v>
      </c>
      <c r="F389" t="s">
        <v>291</v>
      </c>
    </row>
    <row r="390" spans="1:6" ht="15" x14ac:dyDescent="0.25">
      <c r="A390" t="s">
        <v>653</v>
      </c>
      <c r="B390" t="s">
        <v>190</v>
      </c>
      <c r="C390" s="88">
        <v>2</v>
      </c>
      <c r="D390" t="s">
        <v>282</v>
      </c>
      <c r="E390" t="s">
        <v>657</v>
      </c>
      <c r="F390" t="s">
        <v>314</v>
      </c>
    </row>
    <row r="391" spans="1:6" ht="15" x14ac:dyDescent="0.25">
      <c r="A391" t="s">
        <v>653</v>
      </c>
      <c r="B391" t="s">
        <v>190</v>
      </c>
      <c r="C391" s="88">
        <v>2</v>
      </c>
      <c r="D391" t="s">
        <v>282</v>
      </c>
      <c r="E391" t="s">
        <v>605</v>
      </c>
      <c r="F391" t="s">
        <v>314</v>
      </c>
    </row>
    <row r="392" spans="1:6" ht="15" x14ac:dyDescent="0.25">
      <c r="A392" t="s">
        <v>653</v>
      </c>
      <c r="B392" t="s">
        <v>21</v>
      </c>
      <c r="C392" s="88">
        <v>2</v>
      </c>
      <c r="D392" t="s">
        <v>282</v>
      </c>
      <c r="E392" t="s">
        <v>606</v>
      </c>
      <c r="F392" t="s">
        <v>314</v>
      </c>
    </row>
    <row r="393" spans="1:6" ht="15" x14ac:dyDescent="0.25">
      <c r="A393" t="s">
        <v>650</v>
      </c>
      <c r="B393" t="s">
        <v>75</v>
      </c>
      <c r="C393" s="88">
        <v>2</v>
      </c>
      <c r="D393" t="s">
        <v>282</v>
      </c>
      <c r="E393" t="s">
        <v>607</v>
      </c>
      <c r="F393" t="s">
        <v>420</v>
      </c>
    </row>
    <row r="394" spans="1:6" ht="15" x14ac:dyDescent="0.25">
      <c r="A394" t="s">
        <v>650</v>
      </c>
      <c r="B394" t="s">
        <v>99</v>
      </c>
      <c r="C394" s="88">
        <v>2</v>
      </c>
      <c r="D394" t="s">
        <v>282</v>
      </c>
      <c r="E394" t="s">
        <v>286</v>
      </c>
      <c r="F394" t="s">
        <v>810</v>
      </c>
    </row>
    <row r="395" spans="1:6" ht="15" x14ac:dyDescent="0.25">
      <c r="A395" t="s">
        <v>650</v>
      </c>
      <c r="B395" t="s">
        <v>325</v>
      </c>
      <c r="C395" s="88">
        <v>0</v>
      </c>
      <c r="D395" t="s">
        <v>282</v>
      </c>
      <c r="E395" t="s">
        <v>611</v>
      </c>
      <c r="F395" t="s">
        <v>885</v>
      </c>
    </row>
    <row r="396" spans="1:6" ht="15" x14ac:dyDescent="0.25">
      <c r="A396" t="s">
        <v>650</v>
      </c>
      <c r="B396" t="s">
        <v>91</v>
      </c>
      <c r="C396" s="88">
        <v>2</v>
      </c>
      <c r="D396" t="s">
        <v>282</v>
      </c>
      <c r="E396" t="s">
        <v>316</v>
      </c>
      <c r="F396" t="s">
        <v>854</v>
      </c>
    </row>
    <row r="397" spans="1:6" ht="15" x14ac:dyDescent="0.25">
      <c r="A397" t="s">
        <v>650</v>
      </c>
      <c r="B397" t="s">
        <v>99</v>
      </c>
      <c r="C397" s="88">
        <v>0</v>
      </c>
      <c r="D397" t="s">
        <v>282</v>
      </c>
      <c r="E397" t="s">
        <v>317</v>
      </c>
      <c r="F397" t="s">
        <v>875</v>
      </c>
    </row>
    <row r="398" spans="1:6" ht="15" x14ac:dyDescent="0.25">
      <c r="A398" t="s">
        <v>650</v>
      </c>
      <c r="B398" t="s">
        <v>99</v>
      </c>
      <c r="C398" s="88">
        <v>2</v>
      </c>
      <c r="D398" t="s">
        <v>282</v>
      </c>
      <c r="E398" t="s">
        <v>318</v>
      </c>
      <c r="F398" t="s">
        <v>855</v>
      </c>
    </row>
    <row r="399" spans="1:6" ht="15" x14ac:dyDescent="0.25">
      <c r="A399" t="s">
        <v>650</v>
      </c>
      <c r="B399" t="s">
        <v>80</v>
      </c>
      <c r="C399" s="88">
        <v>0</v>
      </c>
      <c r="D399" t="s">
        <v>282</v>
      </c>
      <c r="E399" t="s">
        <v>319</v>
      </c>
      <c r="F399" t="s">
        <v>938</v>
      </c>
    </row>
    <row r="400" spans="1:6" ht="15" x14ac:dyDescent="0.25">
      <c r="A400" t="s">
        <v>650</v>
      </c>
      <c r="B400" t="s">
        <v>80</v>
      </c>
      <c r="C400" s="88">
        <v>0</v>
      </c>
      <c r="D400" t="s">
        <v>282</v>
      </c>
      <c r="E400" t="s">
        <v>320</v>
      </c>
      <c r="F400" t="s">
        <v>908</v>
      </c>
    </row>
    <row r="401" spans="1:6" ht="15" x14ac:dyDescent="0.25">
      <c r="A401" t="s">
        <v>650</v>
      </c>
      <c r="B401" t="s">
        <v>117</v>
      </c>
      <c r="C401" s="88">
        <v>1</v>
      </c>
      <c r="D401" t="s">
        <v>282</v>
      </c>
      <c r="E401" t="s">
        <v>327</v>
      </c>
      <c r="F401" t="s">
        <v>293</v>
      </c>
    </row>
    <row r="402" spans="1:6" ht="15" x14ac:dyDescent="0.25">
      <c r="A402" t="s">
        <v>650</v>
      </c>
      <c r="B402" t="s">
        <v>306</v>
      </c>
      <c r="C402" s="88">
        <v>1</v>
      </c>
      <c r="D402" t="s">
        <v>282</v>
      </c>
      <c r="E402" t="s">
        <v>333</v>
      </c>
      <c r="F402" t="s">
        <v>856</v>
      </c>
    </row>
    <row r="403" spans="1:6" ht="15" x14ac:dyDescent="0.25">
      <c r="A403" t="s">
        <v>650</v>
      </c>
      <c r="B403" t="s">
        <v>75</v>
      </c>
      <c r="C403" s="88">
        <v>0</v>
      </c>
      <c r="D403" t="s">
        <v>282</v>
      </c>
      <c r="E403" t="s">
        <v>342</v>
      </c>
      <c r="F403" t="s">
        <v>914</v>
      </c>
    </row>
    <row r="404" spans="1:6" ht="15" x14ac:dyDescent="0.25">
      <c r="A404" t="s">
        <v>650</v>
      </c>
      <c r="B404" t="s">
        <v>112</v>
      </c>
      <c r="C404" s="88">
        <v>0</v>
      </c>
      <c r="D404" t="s">
        <v>282</v>
      </c>
      <c r="E404" t="s">
        <v>345</v>
      </c>
      <c r="F404" t="s">
        <v>939</v>
      </c>
    </row>
    <row r="405" spans="1:6" ht="15" x14ac:dyDescent="0.25">
      <c r="A405" t="s">
        <v>650</v>
      </c>
      <c r="B405" t="s">
        <v>91</v>
      </c>
      <c r="C405" s="88">
        <v>2</v>
      </c>
      <c r="D405" t="s">
        <v>282</v>
      </c>
      <c r="E405" t="s">
        <v>618</v>
      </c>
      <c r="F405" t="s">
        <v>809</v>
      </c>
    </row>
    <row r="406" spans="1:6" ht="15" x14ac:dyDescent="0.25">
      <c r="A406" t="s">
        <v>650</v>
      </c>
      <c r="B406" t="s">
        <v>111</v>
      </c>
      <c r="C406" s="88">
        <v>1</v>
      </c>
      <c r="D406" t="s">
        <v>282</v>
      </c>
      <c r="E406" t="s">
        <v>366</v>
      </c>
      <c r="F406" t="s">
        <v>293</v>
      </c>
    </row>
    <row r="407" spans="1:6" ht="15" x14ac:dyDescent="0.25">
      <c r="A407" t="s">
        <v>650</v>
      </c>
      <c r="B407" t="s">
        <v>117</v>
      </c>
      <c r="C407" s="88">
        <v>2</v>
      </c>
      <c r="D407" t="s">
        <v>282</v>
      </c>
      <c r="E407" t="s">
        <v>619</v>
      </c>
      <c r="F407" t="s">
        <v>361</v>
      </c>
    </row>
    <row r="408" spans="1:6" ht="15" x14ac:dyDescent="0.25">
      <c r="A408" t="s">
        <v>650</v>
      </c>
      <c r="B408" t="s">
        <v>99</v>
      </c>
      <c r="C408" s="88">
        <v>0</v>
      </c>
      <c r="D408" t="s">
        <v>282</v>
      </c>
      <c r="E408" t="s">
        <v>379</v>
      </c>
      <c r="F408" t="s">
        <v>940</v>
      </c>
    </row>
    <row r="409" spans="1:6" ht="15" x14ac:dyDescent="0.25">
      <c r="A409" t="s">
        <v>650</v>
      </c>
      <c r="B409" t="s">
        <v>75</v>
      </c>
      <c r="C409" s="88">
        <v>0</v>
      </c>
      <c r="D409" t="s">
        <v>282</v>
      </c>
      <c r="E409" t="s">
        <v>383</v>
      </c>
      <c r="F409" t="s">
        <v>941</v>
      </c>
    </row>
    <row r="410" spans="1:6" ht="15" x14ac:dyDescent="0.25">
      <c r="A410" t="s">
        <v>650</v>
      </c>
      <c r="B410" t="s">
        <v>325</v>
      </c>
      <c r="C410" s="88">
        <v>1</v>
      </c>
      <c r="D410" t="s">
        <v>282</v>
      </c>
      <c r="E410" t="s">
        <v>388</v>
      </c>
      <c r="F410" t="s">
        <v>293</v>
      </c>
    </row>
    <row r="411" spans="1:6" ht="15" x14ac:dyDescent="0.25">
      <c r="A411" t="s">
        <v>650</v>
      </c>
      <c r="B411" t="s">
        <v>117</v>
      </c>
      <c r="C411" s="88">
        <v>2</v>
      </c>
      <c r="D411" t="s">
        <v>282</v>
      </c>
      <c r="E411" t="s">
        <v>389</v>
      </c>
      <c r="F411" t="s">
        <v>297</v>
      </c>
    </row>
    <row r="412" spans="1:6" ht="15" x14ac:dyDescent="0.25">
      <c r="A412" t="s">
        <v>650</v>
      </c>
      <c r="B412" t="s">
        <v>311</v>
      </c>
      <c r="C412" s="88">
        <v>2</v>
      </c>
      <c r="D412" t="s">
        <v>282</v>
      </c>
      <c r="E412" t="s">
        <v>624</v>
      </c>
      <c r="F412" t="s">
        <v>942</v>
      </c>
    </row>
    <row r="413" spans="1:6" ht="15" x14ac:dyDescent="0.25">
      <c r="A413" t="s">
        <v>650</v>
      </c>
      <c r="B413" t="s">
        <v>111</v>
      </c>
      <c r="C413" s="88">
        <v>0</v>
      </c>
      <c r="D413" t="s">
        <v>282</v>
      </c>
      <c r="E413" t="s">
        <v>406</v>
      </c>
      <c r="F413" t="s">
        <v>906</v>
      </c>
    </row>
    <row r="414" spans="1:6" ht="15" x14ac:dyDescent="0.25">
      <c r="A414" t="s">
        <v>650</v>
      </c>
      <c r="B414" t="s">
        <v>117</v>
      </c>
      <c r="C414" s="88">
        <v>0</v>
      </c>
      <c r="D414" t="s">
        <v>282</v>
      </c>
      <c r="E414" t="s">
        <v>410</v>
      </c>
      <c r="F414" t="s">
        <v>878</v>
      </c>
    </row>
    <row r="415" spans="1:6" ht="15" x14ac:dyDescent="0.25">
      <c r="A415" t="s">
        <v>650</v>
      </c>
      <c r="B415" t="s">
        <v>300</v>
      </c>
      <c r="C415" s="88">
        <v>1</v>
      </c>
      <c r="D415" t="s">
        <v>282</v>
      </c>
      <c r="E415" t="s">
        <v>626</v>
      </c>
      <c r="F415" t="s">
        <v>293</v>
      </c>
    </row>
    <row r="416" spans="1:6" ht="15" x14ac:dyDescent="0.25">
      <c r="A416" t="s">
        <v>650</v>
      </c>
      <c r="B416" t="s">
        <v>117</v>
      </c>
      <c r="C416" s="88">
        <v>0</v>
      </c>
      <c r="D416" t="s">
        <v>282</v>
      </c>
      <c r="E416" t="s">
        <v>629</v>
      </c>
      <c r="F416" t="s">
        <v>890</v>
      </c>
    </row>
    <row r="417" spans="1:6" ht="15" x14ac:dyDescent="0.25">
      <c r="A417" t="s">
        <v>650</v>
      </c>
      <c r="B417" t="s">
        <v>306</v>
      </c>
      <c r="C417" s="88">
        <v>0</v>
      </c>
      <c r="D417" t="s">
        <v>282</v>
      </c>
      <c r="E417" t="s">
        <v>432</v>
      </c>
      <c r="F417" t="s">
        <v>880</v>
      </c>
    </row>
    <row r="418" spans="1:6" ht="15" x14ac:dyDescent="0.25">
      <c r="A418" t="s">
        <v>650</v>
      </c>
      <c r="B418" t="s">
        <v>80</v>
      </c>
      <c r="C418" s="88">
        <v>0</v>
      </c>
      <c r="D418" t="s">
        <v>282</v>
      </c>
      <c r="E418" t="s">
        <v>631</v>
      </c>
      <c r="F418" t="s">
        <v>891</v>
      </c>
    </row>
    <row r="419" spans="1:6" ht="15" x14ac:dyDescent="0.25">
      <c r="A419" t="s">
        <v>654</v>
      </c>
      <c r="B419" t="s">
        <v>6</v>
      </c>
      <c r="C419" s="88">
        <v>1</v>
      </c>
      <c r="D419" t="s">
        <v>282</v>
      </c>
      <c r="E419" t="s">
        <v>453</v>
      </c>
      <c r="F419" t="s">
        <v>452</v>
      </c>
    </row>
    <row r="420" spans="1:6" ht="15" x14ac:dyDescent="0.25">
      <c r="A420" t="s">
        <v>654</v>
      </c>
      <c r="B420" t="s">
        <v>167</v>
      </c>
      <c r="C420" s="88">
        <v>2</v>
      </c>
      <c r="D420" t="s">
        <v>282</v>
      </c>
      <c r="E420" t="s">
        <v>455</v>
      </c>
      <c r="F420" t="s">
        <v>450</v>
      </c>
    </row>
    <row r="421" spans="1:6" ht="15" x14ac:dyDescent="0.25">
      <c r="A421" t="s">
        <v>654</v>
      </c>
      <c r="B421" t="s">
        <v>147</v>
      </c>
      <c r="C421" s="88">
        <v>2</v>
      </c>
      <c r="D421" t="s">
        <v>282</v>
      </c>
      <c r="E421" t="s">
        <v>456</v>
      </c>
      <c r="F421" t="s">
        <v>450</v>
      </c>
    </row>
    <row r="422" spans="1:6" ht="15" x14ac:dyDescent="0.25">
      <c r="A422" t="s">
        <v>654</v>
      </c>
      <c r="B422" t="s">
        <v>4</v>
      </c>
      <c r="C422" s="88">
        <v>1</v>
      </c>
      <c r="D422" t="s">
        <v>282</v>
      </c>
      <c r="E422" t="s">
        <v>472</v>
      </c>
      <c r="F422" t="s">
        <v>452</v>
      </c>
    </row>
    <row r="423" spans="1:6" ht="15" x14ac:dyDescent="0.25">
      <c r="A423" t="s">
        <v>654</v>
      </c>
      <c r="B423" t="s">
        <v>3</v>
      </c>
      <c r="C423" s="88">
        <v>0</v>
      </c>
      <c r="D423" t="s">
        <v>282</v>
      </c>
      <c r="E423" t="s">
        <v>475</v>
      </c>
      <c r="F423" t="s">
        <v>448</v>
      </c>
    </row>
    <row r="424" spans="1:6" ht="15" x14ac:dyDescent="0.25">
      <c r="A424" t="s">
        <v>654</v>
      </c>
      <c r="B424" t="s">
        <v>167</v>
      </c>
      <c r="C424" s="88">
        <v>2</v>
      </c>
      <c r="D424" t="s">
        <v>282</v>
      </c>
      <c r="E424" t="s">
        <v>490</v>
      </c>
      <c r="F424" t="s">
        <v>450</v>
      </c>
    </row>
    <row r="425" spans="1:6" ht="15" x14ac:dyDescent="0.25">
      <c r="A425" t="s">
        <v>654</v>
      </c>
      <c r="B425" t="s">
        <v>4</v>
      </c>
      <c r="C425" s="88">
        <v>1</v>
      </c>
      <c r="D425" t="s">
        <v>282</v>
      </c>
      <c r="E425" t="s">
        <v>494</v>
      </c>
      <c r="F425" t="s">
        <v>452</v>
      </c>
    </row>
    <row r="426" spans="1:6" ht="15" x14ac:dyDescent="0.25">
      <c r="A426" t="s">
        <v>654</v>
      </c>
      <c r="B426" t="s">
        <v>9</v>
      </c>
      <c r="C426" s="88">
        <v>1</v>
      </c>
      <c r="D426" t="s">
        <v>282</v>
      </c>
      <c r="E426" t="s">
        <v>508</v>
      </c>
      <c r="F426" t="s">
        <v>452</v>
      </c>
    </row>
    <row r="427" spans="1:6" ht="15" x14ac:dyDescent="0.25">
      <c r="A427" t="s">
        <v>654</v>
      </c>
      <c r="B427" t="s">
        <v>4</v>
      </c>
      <c r="C427" s="88">
        <v>3</v>
      </c>
      <c r="D427" t="s">
        <v>282</v>
      </c>
      <c r="E427" t="s">
        <v>510</v>
      </c>
      <c r="F427" t="s">
        <v>884</v>
      </c>
    </row>
    <row r="428" spans="1:6" ht="15" x14ac:dyDescent="0.25">
      <c r="A428" t="s">
        <v>654</v>
      </c>
      <c r="B428" t="s">
        <v>8</v>
      </c>
      <c r="C428" s="88">
        <v>2</v>
      </c>
      <c r="D428" t="s">
        <v>282</v>
      </c>
      <c r="E428" t="s">
        <v>525</v>
      </c>
      <c r="F428" t="s">
        <v>450</v>
      </c>
    </row>
    <row r="429" spans="1:6" ht="15" x14ac:dyDescent="0.25">
      <c r="A429" t="s">
        <v>654</v>
      </c>
      <c r="B429" t="s">
        <v>171</v>
      </c>
      <c r="C429" s="88">
        <v>3</v>
      </c>
      <c r="D429" t="s">
        <v>282</v>
      </c>
      <c r="E429" t="s">
        <v>641</v>
      </c>
      <c r="F429" t="s">
        <v>884</v>
      </c>
    </row>
    <row r="430" spans="1:6" ht="15" x14ac:dyDescent="0.25">
      <c r="A430" t="s">
        <v>660</v>
      </c>
      <c r="B430" t="s">
        <v>668</v>
      </c>
      <c r="C430" s="88">
        <v>0</v>
      </c>
      <c r="D430" t="s">
        <v>282</v>
      </c>
      <c r="E430" t="s">
        <v>757</v>
      </c>
      <c r="F430" t="s">
        <v>291</v>
      </c>
    </row>
    <row r="431" spans="1:6" ht="15" x14ac:dyDescent="0.25">
      <c r="A431" t="s">
        <v>660</v>
      </c>
      <c r="B431" t="s">
        <v>661</v>
      </c>
      <c r="C431" s="88">
        <v>0</v>
      </c>
      <c r="D431" t="s">
        <v>282</v>
      </c>
      <c r="E431" t="s">
        <v>716</v>
      </c>
      <c r="F431" t="s">
        <v>291</v>
      </c>
    </row>
    <row r="432" spans="1:6" ht="15" x14ac:dyDescent="0.25">
      <c r="A432" t="s">
        <v>660</v>
      </c>
      <c r="B432" t="s">
        <v>662</v>
      </c>
      <c r="C432" s="88">
        <v>0</v>
      </c>
      <c r="D432" t="s">
        <v>282</v>
      </c>
      <c r="E432" t="s">
        <v>717</v>
      </c>
      <c r="F432" t="s">
        <v>291</v>
      </c>
    </row>
    <row r="433" spans="1:6" ht="15" x14ac:dyDescent="0.25">
      <c r="A433" t="s">
        <v>660</v>
      </c>
      <c r="B433" t="s">
        <v>667</v>
      </c>
      <c r="C433" s="88">
        <v>0</v>
      </c>
      <c r="D433" t="s">
        <v>282</v>
      </c>
      <c r="E433" t="s">
        <v>760</v>
      </c>
      <c r="F433" t="s">
        <v>291</v>
      </c>
    </row>
    <row r="434" spans="1:6" ht="15" x14ac:dyDescent="0.25">
      <c r="A434" t="s">
        <v>660</v>
      </c>
      <c r="B434" t="s">
        <v>661</v>
      </c>
      <c r="C434" s="88">
        <v>5</v>
      </c>
      <c r="D434" t="s">
        <v>282</v>
      </c>
      <c r="E434" t="s">
        <v>761</v>
      </c>
      <c r="F434" t="s">
        <v>291</v>
      </c>
    </row>
    <row r="435" spans="1:6" ht="15" x14ac:dyDescent="0.25">
      <c r="A435" t="s">
        <v>653</v>
      </c>
      <c r="B435" t="s">
        <v>21</v>
      </c>
      <c r="C435" s="88">
        <v>2</v>
      </c>
      <c r="D435" t="s">
        <v>282</v>
      </c>
      <c r="E435" t="s">
        <v>655</v>
      </c>
      <c r="F435" t="s">
        <v>815</v>
      </c>
    </row>
    <row r="436" spans="1:6" ht="15" x14ac:dyDescent="0.25">
      <c r="A436" t="s">
        <v>653</v>
      </c>
      <c r="B436" t="s">
        <v>193</v>
      </c>
      <c r="C436" s="88">
        <v>0</v>
      </c>
      <c r="D436" t="s">
        <v>282</v>
      </c>
      <c r="E436" t="s">
        <v>557</v>
      </c>
      <c r="F436" t="s">
        <v>291</v>
      </c>
    </row>
    <row r="437" spans="1:6" ht="15" x14ac:dyDescent="0.25">
      <c r="A437" t="s">
        <v>653</v>
      </c>
      <c r="B437" t="s">
        <v>23</v>
      </c>
      <c r="C437" s="88">
        <v>0</v>
      </c>
      <c r="D437" t="s">
        <v>282</v>
      </c>
      <c r="E437" t="s">
        <v>645</v>
      </c>
      <c r="F437" t="s">
        <v>291</v>
      </c>
    </row>
    <row r="438" spans="1:6" ht="15" x14ac:dyDescent="0.25">
      <c r="A438" t="s">
        <v>653</v>
      </c>
      <c r="B438" t="s">
        <v>289</v>
      </c>
      <c r="C438" s="88">
        <v>2</v>
      </c>
      <c r="D438" t="s">
        <v>282</v>
      </c>
      <c r="E438" t="s">
        <v>585</v>
      </c>
      <c r="F438" t="s">
        <v>291</v>
      </c>
    </row>
    <row r="439" spans="1:6" ht="15" x14ac:dyDescent="0.25">
      <c r="A439" t="s">
        <v>653</v>
      </c>
      <c r="B439" t="s">
        <v>289</v>
      </c>
      <c r="C439" s="88">
        <v>0</v>
      </c>
      <c r="D439" t="s">
        <v>282</v>
      </c>
      <c r="E439" t="s">
        <v>586</v>
      </c>
      <c r="F439" t="s">
        <v>314</v>
      </c>
    </row>
    <row r="440" spans="1:6" ht="15" x14ac:dyDescent="0.25">
      <c r="A440" t="s">
        <v>653</v>
      </c>
      <c r="B440" t="s">
        <v>19</v>
      </c>
      <c r="C440" s="88">
        <v>1</v>
      </c>
      <c r="D440" t="s">
        <v>282</v>
      </c>
      <c r="E440" t="s">
        <v>587</v>
      </c>
      <c r="F440" t="s">
        <v>293</v>
      </c>
    </row>
    <row r="441" spans="1:6" ht="15" x14ac:dyDescent="0.25">
      <c r="A441" t="s">
        <v>653</v>
      </c>
      <c r="B441" t="s">
        <v>190</v>
      </c>
      <c r="C441" s="88">
        <v>1</v>
      </c>
      <c r="D441" t="s">
        <v>282</v>
      </c>
      <c r="E441" t="s">
        <v>588</v>
      </c>
      <c r="F441" t="s">
        <v>293</v>
      </c>
    </row>
    <row r="442" spans="1:6" ht="15" x14ac:dyDescent="0.25">
      <c r="A442" t="s">
        <v>653</v>
      </c>
      <c r="B442" t="s">
        <v>16</v>
      </c>
      <c r="C442" s="88">
        <v>2</v>
      </c>
      <c r="D442" t="s">
        <v>282</v>
      </c>
      <c r="E442" t="s">
        <v>589</v>
      </c>
      <c r="F442" t="s">
        <v>314</v>
      </c>
    </row>
  </sheetData>
  <autoFilter ref="A1:F442" xr:uid="{00000000-0001-0000-04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1:CC95"/>
  <sheetViews>
    <sheetView tabSelected="1" zoomScale="95" zoomScaleNormal="95" workbookViewId="0">
      <selection activeCell="K4" sqref="K4"/>
    </sheetView>
  </sheetViews>
  <sheetFormatPr defaultColWidth="8.85546875" defaultRowHeight="9" x14ac:dyDescent="0.15"/>
  <cols>
    <col min="1" max="1" width="2.7109375" style="2" customWidth="1"/>
    <col min="2" max="2" width="22.85546875" style="23" customWidth="1"/>
    <col min="3" max="3" width="2.7109375" style="49" customWidth="1"/>
    <col min="4" max="5" width="1.7109375" style="2" customWidth="1"/>
    <col min="6" max="6" width="1.7109375" style="7" customWidth="1"/>
    <col min="7" max="7" width="2.140625" style="2" customWidth="1"/>
    <col min="8" max="8" width="38.28515625" style="5" customWidth="1"/>
    <col min="9" max="9" width="10.5703125" style="2" customWidth="1"/>
    <col min="10" max="10" width="11.7109375" style="2" customWidth="1"/>
    <col min="11" max="11" width="18" style="2" customWidth="1"/>
    <col min="12" max="12" width="2.140625" style="2" customWidth="1"/>
    <col min="13" max="13" width="2.7109375" style="2" customWidth="1"/>
    <col min="14" max="14" width="22.85546875" style="2" customWidth="1"/>
    <col min="15" max="15" width="7.28515625" style="2" customWidth="1"/>
    <col min="16" max="16" width="2.7109375" style="2" customWidth="1"/>
    <col min="17" max="17" width="2.42578125" style="15" customWidth="1"/>
    <col min="18" max="18" width="3.140625" style="15" customWidth="1"/>
    <col min="19" max="19" width="5.7109375" style="15" customWidth="1"/>
    <col min="20" max="20" width="4" style="15" customWidth="1"/>
    <col min="21" max="21" width="3.140625" style="15" customWidth="1"/>
    <col min="22" max="22" width="4.7109375" style="15" customWidth="1"/>
    <col min="23" max="23" width="5.140625" style="15" customWidth="1"/>
    <col min="24" max="24" width="3.42578125" style="2" customWidth="1"/>
    <col min="25" max="25" width="35.85546875" style="2" customWidth="1"/>
    <col min="26" max="52" width="8.28515625" style="2" customWidth="1"/>
    <col min="53" max="53" width="11" style="2" customWidth="1"/>
    <col min="54" max="57" width="8.28515625" style="2" customWidth="1"/>
    <col min="58" max="58" width="3.28515625" style="2" customWidth="1"/>
    <col min="59" max="59" width="4.28515625" style="2" customWidth="1"/>
    <col min="60" max="60" width="3.7109375" style="2" customWidth="1"/>
    <col min="61" max="61" width="3.85546875" style="2" customWidth="1"/>
    <col min="62" max="62" width="3.7109375" style="2" customWidth="1"/>
    <col min="63" max="63" width="4" style="2" customWidth="1"/>
    <col min="64" max="64" width="3.85546875" style="2" customWidth="1"/>
    <col min="65" max="65" width="4" style="2" customWidth="1"/>
    <col min="66" max="66" width="4.5703125" style="2" customWidth="1"/>
    <col min="67" max="67" width="3.28515625" style="2" customWidth="1"/>
    <col min="68" max="68" width="4.140625" style="2" customWidth="1"/>
    <col min="69" max="69" width="3.7109375" style="2" customWidth="1"/>
    <col min="70" max="70" width="3.5703125" style="2" customWidth="1"/>
    <col min="71" max="73" width="4.28515625" style="2" customWidth="1"/>
    <col min="74" max="75" width="4.7109375" style="2" customWidth="1"/>
    <col min="76" max="76" width="4.42578125" style="2" customWidth="1"/>
    <col min="77" max="77" width="4.85546875" style="2" customWidth="1"/>
    <col min="78" max="78" width="6.140625" style="2" customWidth="1"/>
    <col min="79" max="79" width="6.7109375" style="2" customWidth="1"/>
    <col min="80" max="80" width="7.28515625" style="2" customWidth="1"/>
    <col min="81" max="81" width="6.42578125" style="2" customWidth="1"/>
    <col min="82" max="82" width="8.85546875" style="2" customWidth="1"/>
    <col min="83" max="16384" width="8.85546875" style="2"/>
  </cols>
  <sheetData>
    <row r="1" spans="2:32" ht="9" customHeight="1" x14ac:dyDescent="0.15"/>
    <row r="3" spans="2:32" ht="22.9" customHeight="1" x14ac:dyDescent="0.15">
      <c r="H3" s="24" t="s">
        <v>52</v>
      </c>
      <c r="I3" s="25" t="s">
        <v>917</v>
      </c>
      <c r="J3" s="24" t="s">
        <v>944</v>
      </c>
      <c r="K3" s="25" t="s">
        <v>943</v>
      </c>
      <c r="R3" s="15" t="s">
        <v>49</v>
      </c>
    </row>
    <row r="4" spans="2:32" ht="24.75" customHeight="1" x14ac:dyDescent="0.15">
      <c r="H4" s="24" t="s">
        <v>53</v>
      </c>
      <c r="I4" s="25">
        <v>1982</v>
      </c>
      <c r="J4" s="24" t="s">
        <v>945</v>
      </c>
      <c r="K4" s="25" t="s">
        <v>949</v>
      </c>
      <c r="R4" s="15" t="s">
        <v>10</v>
      </c>
      <c r="T4" s="18">
        <f>SUM(I60:I63)</f>
        <v>18</v>
      </c>
    </row>
    <row r="5" spans="2:32" ht="22.15" customHeight="1" x14ac:dyDescent="0.15">
      <c r="H5" s="24" t="s">
        <v>60</v>
      </c>
      <c r="I5" s="25" t="s">
        <v>947</v>
      </c>
      <c r="J5" s="24" t="s">
        <v>946</v>
      </c>
      <c r="K5" s="25" t="s">
        <v>948</v>
      </c>
      <c r="R5" s="15" t="s">
        <v>50</v>
      </c>
      <c r="T5" s="15">
        <v>40</v>
      </c>
      <c r="Y5" s="46" t="s">
        <v>55</v>
      </c>
    </row>
    <row r="6" spans="2:32" ht="12.6" customHeight="1" x14ac:dyDescent="0.25">
      <c r="F6" s="2"/>
      <c r="H6" s="24" t="s">
        <v>43</v>
      </c>
      <c r="I6" s="26" t="s">
        <v>64</v>
      </c>
      <c r="R6" s="15" t="s">
        <v>47</v>
      </c>
      <c r="T6" s="18">
        <f>(T4/T5)*10</f>
        <v>4.5</v>
      </c>
      <c r="Y6" s="35" t="s">
        <v>42</v>
      </c>
      <c r="Z6" s="36" t="s">
        <v>44</v>
      </c>
      <c r="AA6" s="36" t="s">
        <v>46</v>
      </c>
      <c r="AE6" s="3"/>
      <c r="AF6"/>
    </row>
    <row r="7" spans="2:32" ht="22.15" customHeight="1" x14ac:dyDescent="0.25">
      <c r="F7" s="2"/>
      <c r="H7" s="24" t="s">
        <v>10</v>
      </c>
      <c r="I7" s="45">
        <f>T6</f>
        <v>4.5</v>
      </c>
      <c r="Y7" s="52" t="s">
        <v>91</v>
      </c>
      <c r="Z7" s="82">
        <f>SUMIF(ответы!B:B,Y7,ответы!C:C)</f>
        <v>14</v>
      </c>
      <c r="AA7" s="11">
        <f t="shared" ref="AA7:AA21" ca="1" si="0">IF($I$6=$R$11,SUM(OFFSET(Z26:AZ26,0,MATCH(Z7,$Z$25:$AZ$25,0)-1,1,1)),IF($I$6=$R$12,SUM(OFFSET(Z44:AZ44,0,MATCH(Z7,$Z$43:$AZ$43,0)-1,1,1)),IF($I$6=$R$13,SUM(OFFSET(BC26:CC26,0,MATCH(Z7,$BC$25:$CC$25,0)-1,1,1)),IF($I$6=$R$14,SUM(OFFSET(BC44:CC44,0,MATCH(Z7,$BC$43:$CC$43,0)-1,1,1)),"Выбрать"))))</f>
        <v>8</v>
      </c>
      <c r="AE7" s="3"/>
      <c r="AF7"/>
    </row>
    <row r="8" spans="2:32" ht="15" x14ac:dyDescent="0.25">
      <c r="Y8" s="52" t="s">
        <v>99</v>
      </c>
      <c r="Z8" s="82">
        <f>SUMIF(ответы!B:B,TRIM(Y8),ответы!C:C)</f>
        <v>18</v>
      </c>
      <c r="AA8" s="11">
        <f t="shared" ca="1" si="0"/>
        <v>7</v>
      </c>
      <c r="AE8" s="3"/>
      <c r="AF8"/>
    </row>
    <row r="9" spans="2:32" ht="15" x14ac:dyDescent="0.25">
      <c r="R9" s="15" t="s">
        <v>48</v>
      </c>
      <c r="Y9" s="9" t="s">
        <v>80</v>
      </c>
      <c r="Z9" s="82">
        <f>SUMIF(ответы!B:B,TRIM(Y9),ответы!C:C)</f>
        <v>11</v>
      </c>
      <c r="AA9" s="11">
        <f t="shared" ca="1" si="0"/>
        <v>4</v>
      </c>
      <c r="AE9" s="3"/>
      <c r="AF9"/>
    </row>
    <row r="10" spans="2:32" ht="24.6" customHeight="1" x14ac:dyDescent="0.25">
      <c r="D10" s="21"/>
      <c r="E10" s="1"/>
      <c r="F10" s="8"/>
      <c r="H10" s="76"/>
      <c r="R10" s="15" t="s">
        <v>41</v>
      </c>
      <c r="Y10" s="52" t="s">
        <v>762</v>
      </c>
      <c r="Z10" s="82">
        <f>SUMIF(ответы!B:B,TRIM(Y10),ответы!C:C)</f>
        <v>15</v>
      </c>
      <c r="AA10" s="11">
        <f t="shared" ca="1" si="0"/>
        <v>6</v>
      </c>
      <c r="AE10" s="3"/>
      <c r="AF10"/>
    </row>
    <row r="11" spans="2:32" s="5" customFormat="1" ht="19.149999999999999" customHeight="1" x14ac:dyDescent="0.25">
      <c r="B11" s="23"/>
      <c r="C11" s="49"/>
      <c r="H11" s="27" t="s">
        <v>11</v>
      </c>
      <c r="I11" s="83" t="s">
        <v>51</v>
      </c>
      <c r="J11" s="83" t="s">
        <v>247</v>
      </c>
      <c r="K11" s="47" t="s">
        <v>54</v>
      </c>
      <c r="N11" s="43" t="s">
        <v>24</v>
      </c>
      <c r="O11" s="44" t="s">
        <v>54</v>
      </c>
      <c r="Q11" s="16"/>
      <c r="R11" s="15" t="s">
        <v>61</v>
      </c>
      <c r="S11" s="15"/>
      <c r="T11" s="15"/>
      <c r="U11" s="15"/>
      <c r="V11" s="15"/>
      <c r="W11" s="15"/>
      <c r="X11" s="2"/>
      <c r="Y11" s="9" t="s">
        <v>75</v>
      </c>
      <c r="Z11" s="82">
        <f>SUMIF(ответы!B:B,TRIM(Y11),ответы!C:C)</f>
        <v>13</v>
      </c>
      <c r="AA11" s="11">
        <f t="shared" ca="1" si="0"/>
        <v>5</v>
      </c>
      <c r="AD11" s="2"/>
      <c r="AE11" s="3"/>
      <c r="AF11"/>
    </row>
    <row r="12" spans="2:32" ht="15" x14ac:dyDescent="0.25">
      <c r="D12" s="21"/>
      <c r="E12" s="1"/>
      <c r="H12" s="52" t="s">
        <v>140</v>
      </c>
      <c r="I12" s="81">
        <f>SUMIF(ответы!B:B,TRIM(H12),ответы!C:C)</f>
        <v>20</v>
      </c>
      <c r="J12" s="19">
        <v>24</v>
      </c>
      <c r="K12" s="78">
        <f>LOOKUP(I12,$Z$61:$AX$61,Z62:AX62)</f>
        <v>8</v>
      </c>
      <c r="N12" s="28"/>
      <c r="O12" s="29"/>
      <c r="R12" s="15" t="s">
        <v>62</v>
      </c>
      <c r="Y12" s="9" t="s">
        <v>649</v>
      </c>
      <c r="Z12" s="82">
        <f>SUMIF(ответы!B:B,TRIM(Y12),ответы!C:C)</f>
        <v>17</v>
      </c>
      <c r="AA12" s="11">
        <f t="shared" ca="1" si="0"/>
        <v>7</v>
      </c>
      <c r="AE12" s="3"/>
      <c r="AF12"/>
    </row>
    <row r="13" spans="2:32" ht="18" x14ac:dyDescent="0.25">
      <c r="D13" s="21"/>
      <c r="E13" s="1"/>
      <c r="H13" s="52" t="s">
        <v>137</v>
      </c>
      <c r="I13" s="81">
        <f>SUMIF(ответы!B:B,TRIM(H13),ответы!C:C)</f>
        <v>15</v>
      </c>
      <c r="J13" s="19">
        <v>20</v>
      </c>
      <c r="K13" s="78">
        <f>LOOKUP(I13,$Z$61:$AX$61,Z63:AX63)</f>
        <v>6</v>
      </c>
      <c r="N13" s="52" t="s">
        <v>66</v>
      </c>
      <c r="O13" s="10">
        <f ca="1">AA8</f>
        <v>7</v>
      </c>
      <c r="R13" s="15" t="s">
        <v>63</v>
      </c>
      <c r="Y13" s="52" t="s">
        <v>763</v>
      </c>
      <c r="Z13" s="82">
        <f>SUMIF(ответы!B:B,TRIM(Y13),ответы!C:C)</f>
        <v>13</v>
      </c>
      <c r="AA13" s="11">
        <f t="shared" ca="1" si="0"/>
        <v>8</v>
      </c>
      <c r="AE13" s="3"/>
      <c r="AF13"/>
    </row>
    <row r="14" spans="2:32" ht="18" x14ac:dyDescent="0.25">
      <c r="D14" s="21"/>
      <c r="E14" s="1"/>
      <c r="H14" s="52" t="s">
        <v>143</v>
      </c>
      <c r="I14" s="81">
        <f>SUMIF(ответы!B:B,TRIM(H14),ответы!C:C)</f>
        <v>15</v>
      </c>
      <c r="J14" s="19">
        <v>24</v>
      </c>
      <c r="K14" s="78">
        <f>LOOKUP(I14,$Z$61:$AX$61,Z64:AX64)</f>
        <v>6</v>
      </c>
      <c r="N14" s="52" t="s">
        <v>67</v>
      </c>
      <c r="O14" s="10">
        <f ca="1">AA17</f>
        <v>5</v>
      </c>
      <c r="R14" s="15" t="s">
        <v>64</v>
      </c>
      <c r="Y14" s="52" t="s">
        <v>325</v>
      </c>
      <c r="Z14" s="82">
        <f>SUMIF(ответы!B:B,TRIM(Y14),ответы!C:C)</f>
        <v>6</v>
      </c>
      <c r="AA14" s="11">
        <f t="shared" ca="1" si="0"/>
        <v>4</v>
      </c>
      <c r="AE14" s="3"/>
      <c r="AF14"/>
    </row>
    <row r="15" spans="2:32" ht="18" x14ac:dyDescent="0.25">
      <c r="D15" s="21"/>
      <c r="E15" s="1"/>
      <c r="H15" s="52"/>
      <c r="I15" s="19"/>
      <c r="J15" s="19"/>
      <c r="K15" s="78"/>
      <c r="N15" s="52" t="s">
        <v>68</v>
      </c>
      <c r="O15" s="10">
        <f ca="1">AA21</f>
        <v>6</v>
      </c>
      <c r="Y15" s="52" t="s">
        <v>117</v>
      </c>
      <c r="Z15" s="82">
        <f>SUMIF(ответы!B:B,TRIM(Y15),ответы!C:C)</f>
        <v>9</v>
      </c>
      <c r="AA15" s="11">
        <f t="shared" ca="1" si="0"/>
        <v>4</v>
      </c>
      <c r="AE15" s="3"/>
      <c r="AF15"/>
    </row>
    <row r="16" spans="2:32" ht="15" x14ac:dyDescent="0.25">
      <c r="D16" s="21"/>
      <c r="E16" s="1"/>
      <c r="H16" s="52" t="s">
        <v>245</v>
      </c>
      <c r="I16" s="81">
        <f>SUMIF(ответы!B:B,TRIM(H16),ответы!C:C)</f>
        <v>13</v>
      </c>
      <c r="J16" s="19">
        <v>24</v>
      </c>
      <c r="K16" s="78">
        <f>LOOKUP(I16,$Z$61:$AX$61,Z66:AX66)</f>
        <v>6</v>
      </c>
      <c r="N16" s="28"/>
      <c r="O16" s="29"/>
      <c r="Y16" s="52" t="s">
        <v>300</v>
      </c>
      <c r="Z16" s="82">
        <f>SUMIF(ответы!B:B,Y16,ответы!C:C)</f>
        <v>11</v>
      </c>
      <c r="AA16" s="11">
        <f t="shared" ca="1" si="0"/>
        <v>5</v>
      </c>
      <c r="AE16" s="3"/>
      <c r="AF16"/>
    </row>
    <row r="17" spans="4:81" ht="18" x14ac:dyDescent="0.25">
      <c r="D17" s="21"/>
      <c r="E17" s="1"/>
      <c r="H17" s="52" t="s">
        <v>0</v>
      </c>
      <c r="I17" s="81">
        <f>SUMIF(ответы!B:B,TRIM(H17),ответы!C:C)</f>
        <v>16</v>
      </c>
      <c r="J17" s="19">
        <v>24</v>
      </c>
      <c r="K17" s="78">
        <f>LOOKUP(I17,$Z$61:$AX$61,Z67:AX67)</f>
        <v>8</v>
      </c>
      <c r="N17" s="52" t="s">
        <v>69</v>
      </c>
      <c r="O17" s="10">
        <f ca="1">AA10</f>
        <v>6</v>
      </c>
      <c r="Y17" s="52" t="s">
        <v>304</v>
      </c>
      <c r="Z17" s="82">
        <f>SUMIF(ответы!B:B,Y17,ответы!C:C)</f>
        <v>9</v>
      </c>
      <c r="AA17" s="11">
        <f t="shared" ca="1" si="0"/>
        <v>5</v>
      </c>
      <c r="AE17" s="3"/>
      <c r="AF17"/>
    </row>
    <row r="18" spans="4:81" ht="18" x14ac:dyDescent="0.25">
      <c r="D18" s="21"/>
      <c r="E18" s="1"/>
      <c r="N18" s="52" t="s">
        <v>70</v>
      </c>
      <c r="O18" s="10">
        <f ca="1">AA16</f>
        <v>5</v>
      </c>
      <c r="Y18" s="52" t="s">
        <v>306</v>
      </c>
      <c r="Z18" s="82">
        <f>SUMIF(ответы!B:B,Y18,ответы!C:C)</f>
        <v>10</v>
      </c>
      <c r="AA18" s="11">
        <f t="shared" ca="1" si="0"/>
        <v>5</v>
      </c>
      <c r="AE18" s="3"/>
      <c r="AF18"/>
    </row>
    <row r="19" spans="4:81" ht="18" x14ac:dyDescent="0.15">
      <c r="D19" s="21"/>
      <c r="E19" s="1"/>
      <c r="H19" s="52" t="s">
        <v>151</v>
      </c>
      <c r="I19" s="81">
        <f>SUMIF(ответы!B:B,TRIM(H19),ответы!C:C)</f>
        <v>5</v>
      </c>
      <c r="J19" s="19">
        <v>24</v>
      </c>
      <c r="K19" s="78">
        <f>LOOKUP(I19,$Z$61:$AX$61,Z68:AX68)</f>
        <v>2</v>
      </c>
      <c r="N19" s="52" t="s">
        <v>71</v>
      </c>
      <c r="O19" s="10">
        <f ca="1">AA13</f>
        <v>8</v>
      </c>
      <c r="Y19" s="52" t="s">
        <v>129</v>
      </c>
      <c r="Z19" s="82">
        <f>SUMIF(ответы!B:B,Y19,ответы!C:C)</f>
        <v>4</v>
      </c>
      <c r="AA19" s="11">
        <f t="shared" ca="1" si="0"/>
        <v>2</v>
      </c>
    </row>
    <row r="20" spans="4:81" ht="18" x14ac:dyDescent="0.15">
      <c r="D20" s="21"/>
      <c r="E20" s="1"/>
      <c r="H20" s="52" t="s">
        <v>1</v>
      </c>
      <c r="I20" s="81">
        <f>SUMIF(ответы!B:B,TRIM(H20),ответы!C:C)</f>
        <v>11</v>
      </c>
      <c r="J20" s="19">
        <v>24</v>
      </c>
      <c r="K20" s="78">
        <f>LOOKUP(I20,$Z$61:$AX$61,Z69:AX69)</f>
        <v>7</v>
      </c>
      <c r="N20" s="52" t="s">
        <v>72</v>
      </c>
      <c r="O20" s="10">
        <f ca="1">AA7</f>
        <v>8</v>
      </c>
      <c r="Y20" s="52" t="s">
        <v>131</v>
      </c>
      <c r="Z20" s="82">
        <f>SUMIF(ответы!B:B,Y20,ответы!C:C)</f>
        <v>13</v>
      </c>
      <c r="AA20" s="11">
        <f t="shared" ca="1" si="0"/>
        <v>7</v>
      </c>
    </row>
    <row r="21" spans="4:81" x14ac:dyDescent="0.15">
      <c r="D21" s="21"/>
      <c r="E21" s="1"/>
      <c r="H21" s="52" t="s">
        <v>2</v>
      </c>
      <c r="I21" s="81">
        <f>SUMIF(ответы!B:B,TRIM(H21),ответы!C:C)</f>
        <v>16</v>
      </c>
      <c r="J21" s="19">
        <v>24</v>
      </c>
      <c r="K21" s="78">
        <f>LOOKUP(I21,$Z$61:$AX$61,Z70:AX70)</f>
        <v>6</v>
      </c>
      <c r="N21" s="28"/>
      <c r="O21" s="29"/>
      <c r="Y21" s="52" t="s">
        <v>311</v>
      </c>
      <c r="Z21" s="82">
        <f>SUMIF(ответы!B:B,Y21,ответы!C:C)</f>
        <v>12</v>
      </c>
      <c r="AA21" s="11">
        <f t="shared" ca="1" si="0"/>
        <v>6</v>
      </c>
    </row>
    <row r="22" spans="4:81" ht="18" x14ac:dyDescent="0.15">
      <c r="D22" s="21"/>
      <c r="E22" s="1"/>
      <c r="H22" s="52" t="s">
        <v>3</v>
      </c>
      <c r="I22" s="81">
        <f>SUMIF(ответы!B:B,TRIM(H22),ответы!C:C)</f>
        <v>3</v>
      </c>
      <c r="J22" s="19">
        <v>24</v>
      </c>
      <c r="K22" s="78">
        <f>LOOKUP(I22,$Z$61:$AX$61,Z71:AX71)</f>
        <v>1</v>
      </c>
      <c r="N22" s="52" t="s">
        <v>73</v>
      </c>
      <c r="O22" s="10">
        <f ca="1">AA15</f>
        <v>4</v>
      </c>
    </row>
    <row r="23" spans="4:81" ht="18" x14ac:dyDescent="0.15">
      <c r="D23" s="21"/>
      <c r="E23" s="1"/>
      <c r="H23" s="52" t="s">
        <v>4</v>
      </c>
      <c r="I23" s="81">
        <f>SUMIF(ответы!B:B,TRIM(H23),ответы!C:C)</f>
        <v>12</v>
      </c>
      <c r="J23" s="19">
        <v>24</v>
      </c>
      <c r="K23" s="78">
        <f>LOOKUP(I23,$Z$61:$AX$61,Z72:AX72)</f>
        <v>6</v>
      </c>
      <c r="N23" s="52" t="s">
        <v>74</v>
      </c>
      <c r="O23" s="10">
        <f ca="1">AA19</f>
        <v>2</v>
      </c>
    </row>
    <row r="24" spans="4:81" x14ac:dyDescent="0.15">
      <c r="D24" s="21"/>
      <c r="E24" s="1"/>
      <c r="H24" s="84"/>
      <c r="I24" s="19"/>
      <c r="J24" s="19"/>
      <c r="K24" s="78"/>
      <c r="N24" s="9" t="s">
        <v>75</v>
      </c>
      <c r="O24" s="10">
        <f ca="1">AA11</f>
        <v>5</v>
      </c>
      <c r="Y24" s="30" t="s">
        <v>56</v>
      </c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7"/>
      <c r="AZ24" s="37"/>
      <c r="BA24" s="5"/>
      <c r="BB24" s="39" t="s">
        <v>57</v>
      </c>
      <c r="BC24" s="39"/>
      <c r="BD24" s="39"/>
      <c r="BE24" s="39"/>
      <c r="BF24" s="39"/>
      <c r="BG24" s="39"/>
      <c r="BH24" s="39"/>
      <c r="BI24" s="39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</row>
    <row r="25" spans="4:81" ht="18" x14ac:dyDescent="0.25">
      <c r="D25" s="21"/>
      <c r="E25" s="1"/>
      <c r="H25" s="52" t="s">
        <v>5</v>
      </c>
      <c r="I25" s="81">
        <f>SUMIF(ответы!B:B,TRIM(H25),ответы!C:C)</f>
        <v>6</v>
      </c>
      <c r="J25" s="19">
        <v>24</v>
      </c>
      <c r="K25" s="78">
        <f t="shared" ref="K25:K30" si="1">LOOKUP(I25,$Z$61:$AX$61,Z73:AX73)</f>
        <v>6</v>
      </c>
      <c r="N25" s="52" t="s">
        <v>76</v>
      </c>
      <c r="O25" s="10">
        <f ca="1">AA20</f>
        <v>7</v>
      </c>
      <c r="Y25" s="32" t="s">
        <v>40</v>
      </c>
      <c r="Z25" s="66">
        <v>0</v>
      </c>
      <c r="AA25" s="66">
        <v>1</v>
      </c>
      <c r="AB25" s="66">
        <v>2</v>
      </c>
      <c r="AC25" s="66">
        <v>3</v>
      </c>
      <c r="AD25" s="66">
        <v>4</v>
      </c>
      <c r="AE25" s="66">
        <v>5</v>
      </c>
      <c r="AF25" s="66">
        <v>6</v>
      </c>
      <c r="AG25" s="66">
        <v>7</v>
      </c>
      <c r="AH25" s="66">
        <v>8</v>
      </c>
      <c r="AI25" s="66">
        <v>9</v>
      </c>
      <c r="AJ25" s="66">
        <v>10</v>
      </c>
      <c r="AK25" s="66">
        <v>11</v>
      </c>
      <c r="AL25" s="66">
        <v>12</v>
      </c>
      <c r="AM25" s="66">
        <v>13</v>
      </c>
      <c r="AN25" s="66">
        <v>14</v>
      </c>
      <c r="AO25" s="66">
        <v>15</v>
      </c>
      <c r="AP25" s="66">
        <v>16</v>
      </c>
      <c r="AQ25" s="66">
        <v>17</v>
      </c>
      <c r="AR25" s="66">
        <v>18</v>
      </c>
      <c r="AS25" s="66">
        <v>19</v>
      </c>
      <c r="AT25" s="66">
        <v>20</v>
      </c>
      <c r="AU25" s="66">
        <v>21</v>
      </c>
      <c r="AV25" s="66">
        <v>22</v>
      </c>
      <c r="AW25" s="66">
        <v>23</v>
      </c>
      <c r="AX25" s="66">
        <v>24</v>
      </c>
      <c r="AY25" s="67">
        <v>25</v>
      </c>
      <c r="AZ25" s="67">
        <v>26</v>
      </c>
      <c r="BB25" s="40" t="s">
        <v>40</v>
      </c>
      <c r="BC25" s="41">
        <v>0</v>
      </c>
      <c r="BD25" s="41">
        <v>1</v>
      </c>
      <c r="BE25" s="41">
        <v>2</v>
      </c>
      <c r="BF25" s="41">
        <v>3</v>
      </c>
      <c r="BG25" s="41">
        <v>4</v>
      </c>
      <c r="BH25" s="41">
        <v>5</v>
      </c>
      <c r="BI25" s="41">
        <v>6</v>
      </c>
      <c r="BJ25" s="41">
        <v>7</v>
      </c>
      <c r="BK25" s="41">
        <v>8</v>
      </c>
      <c r="BL25" s="41">
        <v>9</v>
      </c>
      <c r="BM25" s="41">
        <v>10</v>
      </c>
      <c r="BN25" s="41">
        <v>11</v>
      </c>
      <c r="BO25" s="41">
        <v>12</v>
      </c>
      <c r="BP25" s="41">
        <v>13</v>
      </c>
      <c r="BQ25" s="41">
        <v>14</v>
      </c>
      <c r="BR25" s="41">
        <v>15</v>
      </c>
      <c r="BS25" s="41">
        <v>16</v>
      </c>
      <c r="BT25" s="41">
        <v>17</v>
      </c>
      <c r="BU25" s="41">
        <v>18</v>
      </c>
      <c r="BV25" s="41">
        <v>19</v>
      </c>
      <c r="BW25" s="41">
        <v>20</v>
      </c>
      <c r="BX25" s="41">
        <v>21</v>
      </c>
      <c r="BY25" s="41">
        <v>22</v>
      </c>
      <c r="BZ25" s="41">
        <v>23</v>
      </c>
      <c r="CA25" s="41">
        <v>24</v>
      </c>
      <c r="CB25" s="41">
        <v>25</v>
      </c>
      <c r="CC25" s="41">
        <v>26</v>
      </c>
    </row>
    <row r="26" spans="4:81" ht="18" x14ac:dyDescent="0.15">
      <c r="D26" s="21"/>
      <c r="E26" s="1"/>
      <c r="H26" s="52" t="s">
        <v>6</v>
      </c>
      <c r="I26" s="81">
        <f>SUMIF(ответы!B:B,TRIM(H26),ответы!C:C)</f>
        <v>8</v>
      </c>
      <c r="J26" s="19">
        <v>24</v>
      </c>
      <c r="K26" s="78">
        <f t="shared" si="1"/>
        <v>4</v>
      </c>
      <c r="N26" s="28"/>
      <c r="O26" s="29"/>
      <c r="Y26" s="52" t="s">
        <v>72</v>
      </c>
      <c r="Z26" s="4">
        <v>1</v>
      </c>
      <c r="AA26" s="4">
        <v>1</v>
      </c>
      <c r="AB26" s="4">
        <v>1</v>
      </c>
      <c r="AC26" s="4">
        <v>1</v>
      </c>
      <c r="AD26" s="4">
        <v>1</v>
      </c>
      <c r="AE26" s="4">
        <v>2</v>
      </c>
      <c r="AF26" s="4">
        <v>2</v>
      </c>
      <c r="AG26" s="4">
        <v>3</v>
      </c>
      <c r="AH26" s="4">
        <v>4</v>
      </c>
      <c r="AI26" s="4">
        <v>4</v>
      </c>
      <c r="AJ26" s="4">
        <v>5</v>
      </c>
      <c r="AK26" s="4">
        <v>5</v>
      </c>
      <c r="AL26" s="4">
        <v>5</v>
      </c>
      <c r="AM26" s="4">
        <v>6</v>
      </c>
      <c r="AN26" s="4">
        <v>7</v>
      </c>
      <c r="AO26" s="4">
        <v>7</v>
      </c>
      <c r="AP26" s="4">
        <v>8</v>
      </c>
      <c r="AQ26" s="4">
        <v>9</v>
      </c>
      <c r="AR26" s="4">
        <v>9</v>
      </c>
      <c r="AS26" s="4">
        <v>10</v>
      </c>
      <c r="AT26" s="4">
        <v>10</v>
      </c>
      <c r="AU26" s="4">
        <v>10</v>
      </c>
      <c r="AV26" s="4">
        <v>10</v>
      </c>
      <c r="AW26" s="4">
        <v>10</v>
      </c>
      <c r="AX26" s="4">
        <v>10</v>
      </c>
      <c r="AY26" s="4">
        <v>10</v>
      </c>
      <c r="AZ26" s="4">
        <v>10</v>
      </c>
      <c r="BB26" s="6" t="s">
        <v>27</v>
      </c>
      <c r="BC26" s="2">
        <v>1</v>
      </c>
      <c r="BD26" s="2">
        <v>1</v>
      </c>
      <c r="BE26" s="2">
        <v>1</v>
      </c>
      <c r="BF26" s="2">
        <v>1</v>
      </c>
      <c r="BG26" s="2">
        <v>2</v>
      </c>
      <c r="BH26" s="13">
        <v>3</v>
      </c>
      <c r="BI26" s="2">
        <v>3</v>
      </c>
      <c r="BJ26" s="2">
        <v>4</v>
      </c>
      <c r="BK26" s="3">
        <v>5</v>
      </c>
      <c r="BL26" s="3">
        <v>5</v>
      </c>
      <c r="BM26" s="3">
        <v>6</v>
      </c>
      <c r="BN26" s="3">
        <v>6</v>
      </c>
      <c r="BO26" s="3">
        <v>7</v>
      </c>
      <c r="BP26" s="3">
        <v>7</v>
      </c>
      <c r="BQ26" s="3">
        <v>8</v>
      </c>
      <c r="BR26" s="3">
        <v>9</v>
      </c>
      <c r="BS26" s="3">
        <v>9</v>
      </c>
      <c r="BT26" s="3">
        <v>10</v>
      </c>
      <c r="BU26" s="3">
        <v>10</v>
      </c>
      <c r="BV26" s="3">
        <v>10</v>
      </c>
      <c r="BW26" s="3">
        <v>10</v>
      </c>
      <c r="BX26" s="3">
        <v>10</v>
      </c>
      <c r="BY26" s="3">
        <v>10</v>
      </c>
      <c r="BZ26" s="3">
        <v>10</v>
      </c>
      <c r="CA26" s="3">
        <v>10</v>
      </c>
      <c r="CB26" s="3">
        <v>10</v>
      </c>
      <c r="CC26" s="3">
        <v>10</v>
      </c>
    </row>
    <row r="27" spans="4:81" ht="18" x14ac:dyDescent="0.15">
      <c r="D27" s="21"/>
      <c r="E27" s="1"/>
      <c r="H27" s="52" t="s">
        <v>7</v>
      </c>
      <c r="I27" s="81">
        <f>SUMIF(ответы!B:B,TRIM(H27),ответы!C:C)</f>
        <v>12</v>
      </c>
      <c r="J27" s="19">
        <v>24</v>
      </c>
      <c r="K27" s="78">
        <f t="shared" si="1"/>
        <v>6</v>
      </c>
      <c r="N27" s="52" t="s">
        <v>77</v>
      </c>
      <c r="O27" s="10">
        <f ca="1">AA18</f>
        <v>5</v>
      </c>
      <c r="Y27" s="52" t="s">
        <v>66</v>
      </c>
      <c r="Z27" s="4">
        <v>1</v>
      </c>
      <c r="AA27" s="4">
        <v>1</v>
      </c>
      <c r="AB27" s="4">
        <v>1</v>
      </c>
      <c r="AC27" s="4">
        <v>1</v>
      </c>
      <c r="AD27" s="4">
        <v>1</v>
      </c>
      <c r="AE27" s="4">
        <v>1</v>
      </c>
      <c r="AF27" s="4">
        <v>1</v>
      </c>
      <c r="AG27" s="4">
        <v>2</v>
      </c>
      <c r="AH27" s="4">
        <v>2</v>
      </c>
      <c r="AI27" s="4">
        <v>3</v>
      </c>
      <c r="AJ27" s="4">
        <v>3</v>
      </c>
      <c r="AK27" s="4">
        <v>4</v>
      </c>
      <c r="AL27" s="4">
        <v>4</v>
      </c>
      <c r="AM27" s="4">
        <v>5</v>
      </c>
      <c r="AN27" s="4">
        <v>5</v>
      </c>
      <c r="AO27" s="4">
        <v>6</v>
      </c>
      <c r="AP27" s="4">
        <v>6</v>
      </c>
      <c r="AQ27" s="4">
        <v>7</v>
      </c>
      <c r="AR27" s="4">
        <v>7</v>
      </c>
      <c r="AS27" s="4">
        <v>8</v>
      </c>
      <c r="AT27" s="4">
        <v>8</v>
      </c>
      <c r="AU27" s="4">
        <v>9</v>
      </c>
      <c r="AV27" s="4">
        <v>9</v>
      </c>
      <c r="AW27" s="4">
        <v>10</v>
      </c>
      <c r="AX27" s="4">
        <v>10</v>
      </c>
      <c r="AY27" s="4">
        <v>10</v>
      </c>
      <c r="AZ27" s="4">
        <v>10</v>
      </c>
      <c r="BB27" s="6" t="s">
        <v>37</v>
      </c>
      <c r="BC27" s="2">
        <v>1</v>
      </c>
      <c r="BD27" s="2">
        <v>1</v>
      </c>
      <c r="BE27" s="2">
        <v>1</v>
      </c>
      <c r="BF27" s="2">
        <v>1</v>
      </c>
      <c r="BG27" s="2">
        <v>1</v>
      </c>
      <c r="BH27" s="2">
        <v>1</v>
      </c>
      <c r="BI27" s="2">
        <v>1</v>
      </c>
      <c r="BJ27" s="2">
        <v>1</v>
      </c>
      <c r="BK27" s="3">
        <v>2</v>
      </c>
      <c r="BL27" s="3">
        <v>2</v>
      </c>
      <c r="BM27" s="3">
        <v>3</v>
      </c>
      <c r="BN27" s="3">
        <v>3</v>
      </c>
      <c r="BO27" s="3">
        <v>4</v>
      </c>
      <c r="BP27" s="3">
        <v>4</v>
      </c>
      <c r="BQ27" s="3">
        <v>5</v>
      </c>
      <c r="BR27" s="3">
        <v>5</v>
      </c>
      <c r="BS27" s="3">
        <v>6</v>
      </c>
      <c r="BT27" s="3">
        <v>6</v>
      </c>
      <c r="BU27" s="3">
        <v>7</v>
      </c>
      <c r="BV27" s="3">
        <v>7</v>
      </c>
      <c r="BW27" s="3">
        <v>8</v>
      </c>
      <c r="BX27" s="3">
        <v>8</v>
      </c>
      <c r="BY27" s="3">
        <v>9</v>
      </c>
      <c r="BZ27" s="3">
        <v>10</v>
      </c>
      <c r="CA27" s="3">
        <v>10</v>
      </c>
      <c r="CB27" s="3">
        <v>10</v>
      </c>
      <c r="CC27" s="3">
        <v>10</v>
      </c>
    </row>
    <row r="28" spans="4:81" ht="18" x14ac:dyDescent="0.15">
      <c r="D28" s="21"/>
      <c r="E28" s="1"/>
      <c r="H28" s="52" t="s">
        <v>171</v>
      </c>
      <c r="I28" s="81">
        <f>SUMIF(ответы!B:B,TRIM(H28),ответы!C:C)</f>
        <v>11</v>
      </c>
      <c r="J28" s="19">
        <v>24</v>
      </c>
      <c r="K28" s="78">
        <f t="shared" si="1"/>
        <v>4</v>
      </c>
      <c r="N28" s="52" t="s">
        <v>78</v>
      </c>
      <c r="O28" s="10">
        <f ca="1">AA14</f>
        <v>4</v>
      </c>
      <c r="Y28" s="9" t="s">
        <v>80</v>
      </c>
      <c r="Z28" s="4">
        <v>1</v>
      </c>
      <c r="AA28" s="4">
        <v>1</v>
      </c>
      <c r="AB28" s="4">
        <v>1</v>
      </c>
      <c r="AC28" s="4">
        <v>1</v>
      </c>
      <c r="AD28" s="4">
        <v>2</v>
      </c>
      <c r="AE28" s="4">
        <v>3</v>
      </c>
      <c r="AF28" s="4">
        <v>3</v>
      </c>
      <c r="AG28" s="4">
        <v>4</v>
      </c>
      <c r="AH28" s="4">
        <v>4</v>
      </c>
      <c r="AI28" s="4">
        <v>5</v>
      </c>
      <c r="AJ28" s="4">
        <v>5</v>
      </c>
      <c r="AK28" s="4">
        <v>6</v>
      </c>
      <c r="AL28" s="4">
        <v>6</v>
      </c>
      <c r="AM28" s="4">
        <v>7</v>
      </c>
      <c r="AN28" s="4">
        <v>7</v>
      </c>
      <c r="AO28" s="4">
        <v>8</v>
      </c>
      <c r="AP28" s="4">
        <v>8</v>
      </c>
      <c r="AQ28" s="4">
        <v>9</v>
      </c>
      <c r="AR28" s="4">
        <v>9</v>
      </c>
      <c r="AS28" s="4">
        <v>10</v>
      </c>
      <c r="AT28" s="4">
        <v>10</v>
      </c>
      <c r="AU28" s="4">
        <v>10</v>
      </c>
      <c r="AV28" s="4">
        <v>10</v>
      </c>
      <c r="AW28" s="4">
        <v>10</v>
      </c>
      <c r="AX28" s="4">
        <v>10</v>
      </c>
      <c r="AY28" s="4">
        <v>10</v>
      </c>
      <c r="AZ28" s="4">
        <v>10</v>
      </c>
      <c r="BB28" s="6" t="s">
        <v>28</v>
      </c>
      <c r="BC28" s="2">
        <v>1</v>
      </c>
      <c r="BD28" s="2">
        <v>1</v>
      </c>
      <c r="BE28" s="2">
        <v>1</v>
      </c>
      <c r="BF28" s="2">
        <v>1</v>
      </c>
      <c r="BG28" s="2">
        <v>1</v>
      </c>
      <c r="BH28" s="2">
        <v>1</v>
      </c>
      <c r="BI28" s="2">
        <v>1</v>
      </c>
      <c r="BJ28" s="2">
        <v>2</v>
      </c>
      <c r="BK28" s="3">
        <v>2</v>
      </c>
      <c r="BL28" s="3">
        <v>3</v>
      </c>
      <c r="BM28" s="3">
        <v>4</v>
      </c>
      <c r="BN28" s="3">
        <v>4</v>
      </c>
      <c r="BO28" s="3">
        <v>5</v>
      </c>
      <c r="BP28" s="3">
        <v>5</v>
      </c>
      <c r="BQ28" s="3">
        <v>6</v>
      </c>
      <c r="BR28" s="3">
        <v>6</v>
      </c>
      <c r="BS28" s="3">
        <v>6</v>
      </c>
      <c r="BT28" s="3">
        <v>7</v>
      </c>
      <c r="BU28" s="3">
        <v>7</v>
      </c>
      <c r="BV28" s="3">
        <v>8</v>
      </c>
      <c r="BW28" s="3">
        <v>9</v>
      </c>
      <c r="BX28" s="3">
        <v>9</v>
      </c>
      <c r="BY28" s="3">
        <v>10</v>
      </c>
      <c r="BZ28" s="3">
        <v>10</v>
      </c>
      <c r="CA28" s="3">
        <v>10</v>
      </c>
      <c r="CB28" s="3">
        <v>10</v>
      </c>
      <c r="CC28" s="3">
        <v>10</v>
      </c>
    </row>
    <row r="29" spans="4:81" ht="18" x14ac:dyDescent="0.15">
      <c r="D29" s="21"/>
      <c r="E29" s="1"/>
      <c r="H29" s="52" t="s">
        <v>8</v>
      </c>
      <c r="I29" s="81">
        <f>SUMIF(ответы!B:B,TRIM(H29),ответы!C:C)</f>
        <v>12</v>
      </c>
      <c r="J29" s="19">
        <v>24</v>
      </c>
      <c r="K29" s="78">
        <f t="shared" si="1"/>
        <v>7</v>
      </c>
      <c r="N29" s="52" t="s">
        <v>79</v>
      </c>
      <c r="O29" s="10">
        <f ca="1">AA12</f>
        <v>7</v>
      </c>
      <c r="Y29" s="52" t="s">
        <v>69</v>
      </c>
      <c r="Z29" s="4">
        <v>1</v>
      </c>
      <c r="AA29" s="4">
        <v>1</v>
      </c>
      <c r="AB29" s="4">
        <v>1</v>
      </c>
      <c r="AC29" s="4">
        <v>1</v>
      </c>
      <c r="AD29" s="4">
        <v>1</v>
      </c>
      <c r="AE29" s="4">
        <v>1</v>
      </c>
      <c r="AF29" s="4">
        <v>2</v>
      </c>
      <c r="AG29" s="4">
        <v>2</v>
      </c>
      <c r="AH29" s="4">
        <v>3</v>
      </c>
      <c r="AI29" s="4">
        <v>3</v>
      </c>
      <c r="AJ29" s="4">
        <v>3</v>
      </c>
      <c r="AK29" s="4">
        <v>4</v>
      </c>
      <c r="AL29" s="4">
        <v>4</v>
      </c>
      <c r="AM29" s="4">
        <v>5</v>
      </c>
      <c r="AN29" s="4">
        <v>5</v>
      </c>
      <c r="AO29" s="4">
        <v>5</v>
      </c>
      <c r="AP29" s="4">
        <v>6</v>
      </c>
      <c r="AQ29" s="4">
        <v>6</v>
      </c>
      <c r="AR29" s="4">
        <v>7</v>
      </c>
      <c r="AS29" s="4">
        <v>7</v>
      </c>
      <c r="AT29" s="4">
        <v>8</v>
      </c>
      <c r="AU29" s="4">
        <v>8</v>
      </c>
      <c r="AV29" s="4">
        <v>9</v>
      </c>
      <c r="AW29" s="4">
        <v>10</v>
      </c>
      <c r="AX29" s="4">
        <v>10</v>
      </c>
      <c r="AY29" s="4">
        <v>10</v>
      </c>
      <c r="AZ29" s="4">
        <v>10</v>
      </c>
      <c r="BB29" s="6" t="s">
        <v>29</v>
      </c>
      <c r="BC29" s="2">
        <v>1</v>
      </c>
      <c r="BD29" s="2">
        <v>1</v>
      </c>
      <c r="BE29" s="2">
        <v>1</v>
      </c>
      <c r="BF29" s="2">
        <v>1</v>
      </c>
      <c r="BG29" s="2">
        <v>1</v>
      </c>
      <c r="BH29" s="2">
        <v>1</v>
      </c>
      <c r="BI29" s="2">
        <v>2</v>
      </c>
      <c r="BJ29" s="2">
        <v>2</v>
      </c>
      <c r="BK29" s="3">
        <v>2</v>
      </c>
      <c r="BL29" s="3">
        <v>3</v>
      </c>
      <c r="BM29" s="3">
        <v>3</v>
      </c>
      <c r="BN29" s="3">
        <v>4</v>
      </c>
      <c r="BO29" s="3">
        <v>4</v>
      </c>
      <c r="BP29" s="3">
        <v>4</v>
      </c>
      <c r="BQ29" s="3">
        <v>5</v>
      </c>
      <c r="BR29" s="3">
        <v>5</v>
      </c>
      <c r="BS29" s="3">
        <v>6</v>
      </c>
      <c r="BT29" s="3">
        <v>6</v>
      </c>
      <c r="BU29" s="3">
        <v>7</v>
      </c>
      <c r="BV29" s="3">
        <v>7</v>
      </c>
      <c r="BW29" s="3">
        <v>8</v>
      </c>
      <c r="BX29" s="3">
        <v>8</v>
      </c>
      <c r="BY29" s="3">
        <v>9</v>
      </c>
      <c r="BZ29" s="3">
        <v>9</v>
      </c>
      <c r="CA29" s="3">
        <v>10</v>
      </c>
      <c r="CB29" s="3">
        <v>10</v>
      </c>
      <c r="CC29" s="3">
        <v>10</v>
      </c>
    </row>
    <row r="30" spans="4:81" x14ac:dyDescent="0.15">
      <c r="D30" s="21"/>
      <c r="E30" s="1"/>
      <c r="H30" s="52" t="s">
        <v>9</v>
      </c>
      <c r="I30" s="81">
        <f>SUMIF(ответы!B:B,TRIM(H30),ответы!C:C)</f>
        <v>6</v>
      </c>
      <c r="J30" s="19">
        <v>24</v>
      </c>
      <c r="K30" s="78">
        <f t="shared" si="1"/>
        <v>3</v>
      </c>
      <c r="N30" s="9" t="s">
        <v>80</v>
      </c>
      <c r="O30" s="10">
        <f ca="1">AA9</f>
        <v>4</v>
      </c>
      <c r="Y30" s="9" t="s">
        <v>75</v>
      </c>
      <c r="Z30" s="4">
        <v>1</v>
      </c>
      <c r="AA30" s="4">
        <v>1</v>
      </c>
      <c r="AB30" s="4">
        <v>1</v>
      </c>
      <c r="AC30" s="4">
        <v>1</v>
      </c>
      <c r="AD30" s="4">
        <v>1</v>
      </c>
      <c r="AE30" s="4">
        <v>2</v>
      </c>
      <c r="AF30" s="4">
        <v>2</v>
      </c>
      <c r="AG30" s="4">
        <v>3</v>
      </c>
      <c r="AH30" s="4">
        <v>3</v>
      </c>
      <c r="AI30" s="4">
        <v>4</v>
      </c>
      <c r="AJ30" s="4">
        <v>4</v>
      </c>
      <c r="AK30" s="4">
        <v>5</v>
      </c>
      <c r="AL30" s="4">
        <v>5</v>
      </c>
      <c r="AM30" s="4">
        <v>6</v>
      </c>
      <c r="AN30" s="4">
        <v>7</v>
      </c>
      <c r="AO30" s="4">
        <v>7</v>
      </c>
      <c r="AP30" s="4">
        <v>8</v>
      </c>
      <c r="AQ30" s="4">
        <v>8</v>
      </c>
      <c r="AR30" s="4">
        <v>9</v>
      </c>
      <c r="AS30" s="4">
        <v>10</v>
      </c>
      <c r="AT30" s="4">
        <v>10</v>
      </c>
      <c r="AU30" s="4">
        <v>10</v>
      </c>
      <c r="AV30" s="4">
        <v>10</v>
      </c>
      <c r="AW30" s="4">
        <v>10</v>
      </c>
      <c r="AX30" s="4">
        <v>10</v>
      </c>
      <c r="AY30" s="4">
        <v>10</v>
      </c>
      <c r="AZ30" s="4">
        <v>10</v>
      </c>
      <c r="BB30" s="6" t="s">
        <v>25</v>
      </c>
      <c r="BC30" s="2">
        <v>1</v>
      </c>
      <c r="BD30" s="2">
        <v>1</v>
      </c>
      <c r="BE30" s="2">
        <v>1</v>
      </c>
      <c r="BF30" s="2">
        <v>1</v>
      </c>
      <c r="BG30" s="2">
        <v>1</v>
      </c>
      <c r="BH30" s="2">
        <v>2</v>
      </c>
      <c r="BI30" s="2">
        <v>2</v>
      </c>
      <c r="BJ30" s="2">
        <v>3</v>
      </c>
      <c r="BK30" s="3">
        <v>3</v>
      </c>
      <c r="BL30" s="3">
        <v>3</v>
      </c>
      <c r="BM30" s="3">
        <v>4</v>
      </c>
      <c r="BN30" s="3">
        <v>4</v>
      </c>
      <c r="BO30" s="3">
        <v>5</v>
      </c>
      <c r="BP30" s="3">
        <v>6</v>
      </c>
      <c r="BQ30" s="3">
        <v>6</v>
      </c>
      <c r="BR30" s="3">
        <v>7</v>
      </c>
      <c r="BS30" s="3">
        <v>7</v>
      </c>
      <c r="BT30" s="3">
        <v>8</v>
      </c>
      <c r="BU30" s="3">
        <v>9</v>
      </c>
      <c r="BV30" s="3">
        <v>9</v>
      </c>
      <c r="BW30" s="3">
        <v>10</v>
      </c>
      <c r="BX30" s="3">
        <v>10</v>
      </c>
      <c r="BY30" s="3">
        <v>10</v>
      </c>
      <c r="BZ30" s="3">
        <v>10</v>
      </c>
      <c r="CA30" s="3">
        <v>10</v>
      </c>
      <c r="CB30" s="3">
        <v>10</v>
      </c>
      <c r="CC30" s="3">
        <v>10</v>
      </c>
    </row>
    <row r="31" spans="4:81" ht="20.45" customHeight="1" x14ac:dyDescent="0.15">
      <c r="D31" s="1"/>
      <c r="E31" s="1"/>
      <c r="K31" s="79"/>
      <c r="O31" s="3"/>
      <c r="P31" s="3"/>
      <c r="Y31" s="52" t="s">
        <v>79</v>
      </c>
      <c r="Z31" s="4">
        <v>1</v>
      </c>
      <c r="AA31" s="4">
        <v>1</v>
      </c>
      <c r="AB31" s="4">
        <v>1</v>
      </c>
      <c r="AC31" s="4">
        <v>2</v>
      </c>
      <c r="AD31" s="4">
        <v>2</v>
      </c>
      <c r="AE31" s="4">
        <v>3</v>
      </c>
      <c r="AF31" s="4">
        <v>3</v>
      </c>
      <c r="AG31" s="4">
        <v>3</v>
      </c>
      <c r="AH31" s="4">
        <v>4</v>
      </c>
      <c r="AI31" s="4">
        <v>4</v>
      </c>
      <c r="AJ31" s="4">
        <v>5</v>
      </c>
      <c r="AK31" s="4">
        <v>5</v>
      </c>
      <c r="AL31" s="4">
        <v>5</v>
      </c>
      <c r="AM31" s="4">
        <v>6</v>
      </c>
      <c r="AN31" s="4">
        <v>6</v>
      </c>
      <c r="AO31" s="4">
        <v>6</v>
      </c>
      <c r="AP31" s="4">
        <v>7</v>
      </c>
      <c r="AQ31" s="4">
        <v>7</v>
      </c>
      <c r="AR31" s="4">
        <v>8</v>
      </c>
      <c r="AS31" s="4">
        <v>8</v>
      </c>
      <c r="AT31" s="4">
        <v>8</v>
      </c>
      <c r="AU31" s="4">
        <v>9</v>
      </c>
      <c r="AV31" s="4">
        <v>9</v>
      </c>
      <c r="AW31" s="4">
        <v>10</v>
      </c>
      <c r="AX31" s="4">
        <v>10</v>
      </c>
      <c r="AY31" s="4">
        <v>10</v>
      </c>
      <c r="AZ31" s="4">
        <v>10</v>
      </c>
      <c r="BB31" s="6" t="s">
        <v>26</v>
      </c>
      <c r="BC31" s="2">
        <v>1</v>
      </c>
      <c r="BD31" s="2">
        <v>1</v>
      </c>
      <c r="BE31" s="2">
        <v>1</v>
      </c>
      <c r="BF31" s="2">
        <v>2</v>
      </c>
      <c r="BG31" s="2">
        <v>2</v>
      </c>
      <c r="BH31" s="2">
        <v>3</v>
      </c>
      <c r="BI31" s="2">
        <v>3</v>
      </c>
      <c r="BJ31" s="2">
        <v>3</v>
      </c>
      <c r="BK31" s="3">
        <v>4</v>
      </c>
      <c r="BL31" s="3">
        <v>4</v>
      </c>
      <c r="BM31" s="3">
        <v>4</v>
      </c>
      <c r="BN31" s="3">
        <v>5</v>
      </c>
      <c r="BO31" s="3">
        <v>5</v>
      </c>
      <c r="BP31" s="3">
        <v>5</v>
      </c>
      <c r="BQ31" s="3">
        <v>6</v>
      </c>
      <c r="BR31" s="3">
        <v>6</v>
      </c>
      <c r="BS31" s="3">
        <v>6</v>
      </c>
      <c r="BT31" s="3">
        <v>7</v>
      </c>
      <c r="BU31" s="3">
        <v>7</v>
      </c>
      <c r="BV31" s="3">
        <v>8</v>
      </c>
      <c r="BW31" s="3">
        <v>8</v>
      </c>
      <c r="BX31" s="3">
        <v>9</v>
      </c>
      <c r="BY31" s="3">
        <v>9</v>
      </c>
      <c r="BZ31" s="3">
        <v>10</v>
      </c>
      <c r="CA31" s="3">
        <v>10</v>
      </c>
      <c r="CB31" s="3">
        <v>10</v>
      </c>
      <c r="CC31" s="3">
        <v>10</v>
      </c>
    </row>
    <row r="32" spans="4:81" ht="18" customHeight="1" x14ac:dyDescent="0.15">
      <c r="D32" s="1"/>
      <c r="E32" s="1"/>
      <c r="H32" s="76"/>
      <c r="K32" s="3"/>
      <c r="O32" s="3"/>
      <c r="P32" s="3"/>
      <c r="Y32" s="52" t="s">
        <v>71</v>
      </c>
      <c r="Z32" s="4">
        <v>1</v>
      </c>
      <c r="AA32" s="4">
        <v>1</v>
      </c>
      <c r="AB32" s="4">
        <v>1</v>
      </c>
      <c r="AC32" s="4">
        <v>1</v>
      </c>
      <c r="AD32" s="4">
        <v>1</v>
      </c>
      <c r="AE32" s="4">
        <v>1</v>
      </c>
      <c r="AF32" s="4">
        <v>2</v>
      </c>
      <c r="AG32" s="4">
        <v>3</v>
      </c>
      <c r="AH32" s="4">
        <v>3</v>
      </c>
      <c r="AI32" s="4">
        <v>4</v>
      </c>
      <c r="AJ32" s="4">
        <v>4</v>
      </c>
      <c r="AK32" s="4">
        <v>5</v>
      </c>
      <c r="AL32" s="4">
        <v>5</v>
      </c>
      <c r="AM32" s="4">
        <v>6</v>
      </c>
      <c r="AN32" s="4">
        <v>7</v>
      </c>
      <c r="AO32" s="4">
        <v>8</v>
      </c>
      <c r="AP32" s="4">
        <v>9</v>
      </c>
      <c r="AQ32" s="4">
        <v>9</v>
      </c>
      <c r="AR32" s="4">
        <v>10</v>
      </c>
      <c r="AS32" s="4">
        <v>10</v>
      </c>
      <c r="AT32" s="4">
        <v>10</v>
      </c>
      <c r="AU32" s="4">
        <v>10</v>
      </c>
      <c r="AV32" s="4">
        <v>10</v>
      </c>
      <c r="AW32" s="4">
        <v>10</v>
      </c>
      <c r="AX32" s="4">
        <v>10</v>
      </c>
      <c r="AY32" s="4">
        <v>10</v>
      </c>
      <c r="AZ32" s="4">
        <v>10</v>
      </c>
      <c r="BB32" s="6" t="s">
        <v>30</v>
      </c>
      <c r="BC32" s="2">
        <v>1</v>
      </c>
      <c r="BD32" s="2">
        <v>1</v>
      </c>
      <c r="BE32" s="2">
        <v>1</v>
      </c>
      <c r="BF32" s="2">
        <v>2</v>
      </c>
      <c r="BG32" s="2">
        <v>3</v>
      </c>
      <c r="BH32" s="2">
        <v>3</v>
      </c>
      <c r="BI32" s="2">
        <v>4</v>
      </c>
      <c r="BJ32" s="2">
        <v>5</v>
      </c>
      <c r="BK32" s="3">
        <v>5</v>
      </c>
      <c r="BL32" s="3">
        <v>6</v>
      </c>
      <c r="BM32" s="3">
        <v>6</v>
      </c>
      <c r="BN32" s="3">
        <v>7</v>
      </c>
      <c r="BO32" s="3">
        <v>7</v>
      </c>
      <c r="BP32" s="3">
        <v>8</v>
      </c>
      <c r="BQ32" s="3">
        <v>8</v>
      </c>
      <c r="BR32" s="3">
        <v>9</v>
      </c>
      <c r="BS32" s="3">
        <v>10</v>
      </c>
      <c r="BT32" s="3">
        <v>10</v>
      </c>
      <c r="BU32" s="3">
        <v>10</v>
      </c>
      <c r="BV32" s="3">
        <v>10</v>
      </c>
      <c r="BW32" s="3">
        <v>10</v>
      </c>
      <c r="BX32" s="3">
        <v>10</v>
      </c>
      <c r="BY32" s="3">
        <v>10</v>
      </c>
      <c r="BZ32" s="3">
        <v>10</v>
      </c>
      <c r="CA32" s="3">
        <v>10</v>
      </c>
      <c r="CB32" s="3">
        <v>10</v>
      </c>
      <c r="CC32" s="3">
        <v>10</v>
      </c>
    </row>
    <row r="33" spans="4:81" ht="20.45" customHeight="1" x14ac:dyDescent="0.2">
      <c r="D33" s="22"/>
      <c r="H33" s="85" t="s">
        <v>45</v>
      </c>
      <c r="I33" s="51" t="s">
        <v>51</v>
      </c>
      <c r="J33" s="77" t="s">
        <v>247</v>
      </c>
      <c r="K33" s="47" t="s">
        <v>54</v>
      </c>
      <c r="L33" s="3"/>
      <c r="Y33" s="52" t="s">
        <v>78</v>
      </c>
      <c r="Z33" s="4">
        <v>1</v>
      </c>
      <c r="AA33" s="4">
        <v>1</v>
      </c>
      <c r="AB33" s="4">
        <v>2</v>
      </c>
      <c r="AC33" s="4">
        <v>2</v>
      </c>
      <c r="AD33" s="4">
        <v>3</v>
      </c>
      <c r="AE33" s="4">
        <v>4</v>
      </c>
      <c r="AF33" s="4">
        <v>5</v>
      </c>
      <c r="AG33" s="4">
        <v>5</v>
      </c>
      <c r="AH33" s="4">
        <v>6</v>
      </c>
      <c r="AI33" s="4">
        <v>6</v>
      </c>
      <c r="AJ33" s="4">
        <v>7</v>
      </c>
      <c r="AK33" s="4">
        <v>8</v>
      </c>
      <c r="AL33" s="4">
        <v>8</v>
      </c>
      <c r="AM33" s="4">
        <v>9</v>
      </c>
      <c r="AN33" s="4">
        <v>9</v>
      </c>
      <c r="AO33" s="4">
        <v>10</v>
      </c>
      <c r="AP33" s="4">
        <v>10</v>
      </c>
      <c r="AQ33" s="4">
        <v>10</v>
      </c>
      <c r="AR33" s="4">
        <v>10</v>
      </c>
      <c r="AS33" s="4">
        <v>10</v>
      </c>
      <c r="AT33" s="4">
        <v>10</v>
      </c>
      <c r="AU33" s="4">
        <v>10</v>
      </c>
      <c r="AV33" s="4">
        <v>10</v>
      </c>
      <c r="AW33" s="4">
        <v>10</v>
      </c>
      <c r="AX33" s="4">
        <v>10</v>
      </c>
      <c r="AY33" s="4">
        <v>10</v>
      </c>
      <c r="AZ33" s="4">
        <v>10</v>
      </c>
      <c r="BB33" s="6" t="s">
        <v>31</v>
      </c>
      <c r="BC33" s="2">
        <v>1</v>
      </c>
      <c r="BD33" s="2">
        <v>1</v>
      </c>
      <c r="BE33" s="2">
        <v>1</v>
      </c>
      <c r="BF33" s="2">
        <v>1</v>
      </c>
      <c r="BG33" s="2">
        <v>2</v>
      </c>
      <c r="BH33" s="2">
        <v>3</v>
      </c>
      <c r="BI33" s="2">
        <v>3</v>
      </c>
      <c r="BJ33" s="2">
        <v>4</v>
      </c>
      <c r="BK33" s="3">
        <v>5</v>
      </c>
      <c r="BL33" s="3">
        <v>5</v>
      </c>
      <c r="BM33" s="3">
        <v>6</v>
      </c>
      <c r="BN33" s="3">
        <v>6</v>
      </c>
      <c r="BO33" s="3">
        <v>7</v>
      </c>
      <c r="BP33" s="3">
        <v>8</v>
      </c>
      <c r="BQ33" s="3">
        <v>8</v>
      </c>
      <c r="BR33" s="3">
        <v>9</v>
      </c>
      <c r="BS33" s="3">
        <v>10</v>
      </c>
      <c r="BT33" s="3">
        <v>10</v>
      </c>
      <c r="BU33" s="3">
        <v>10</v>
      </c>
      <c r="BV33" s="3">
        <v>10</v>
      </c>
      <c r="BW33" s="3">
        <v>10</v>
      </c>
      <c r="BX33" s="3">
        <v>10</v>
      </c>
      <c r="BY33" s="3">
        <v>10</v>
      </c>
      <c r="BZ33" s="3">
        <v>10</v>
      </c>
      <c r="CA33" s="3">
        <v>10</v>
      </c>
      <c r="CB33" s="3">
        <v>10</v>
      </c>
      <c r="CC33" s="3">
        <v>10</v>
      </c>
    </row>
    <row r="34" spans="4:81" ht="20.45" customHeight="1" x14ac:dyDescent="0.15">
      <c r="D34" s="22"/>
      <c r="H34" s="86" t="s">
        <v>663</v>
      </c>
      <c r="I34" s="81">
        <f>SUMIF(ответы!B:B,H34,ответы!C:C)</f>
        <v>0</v>
      </c>
      <c r="J34" s="20">
        <v>30</v>
      </c>
      <c r="K34" s="78">
        <f>LOOKUP(I34,$Z$83:$AX$83,Z84:AX84)</f>
        <v>0</v>
      </c>
      <c r="L34" s="3"/>
      <c r="Y34" s="52" t="s">
        <v>73</v>
      </c>
      <c r="Z34" s="4">
        <v>1</v>
      </c>
      <c r="AA34" s="4">
        <v>1</v>
      </c>
      <c r="AB34" s="4">
        <v>1</v>
      </c>
      <c r="AC34" s="4">
        <v>1</v>
      </c>
      <c r="AD34" s="4">
        <v>1</v>
      </c>
      <c r="AE34" s="4">
        <v>1</v>
      </c>
      <c r="AF34" s="4">
        <v>2</v>
      </c>
      <c r="AG34" s="4">
        <v>2</v>
      </c>
      <c r="AH34" s="4">
        <v>3</v>
      </c>
      <c r="AI34" s="4">
        <v>4</v>
      </c>
      <c r="AJ34" s="4">
        <v>4</v>
      </c>
      <c r="AK34" s="4">
        <v>5</v>
      </c>
      <c r="AL34" s="4">
        <v>5</v>
      </c>
      <c r="AM34" s="4">
        <v>6</v>
      </c>
      <c r="AN34" s="4">
        <v>6</v>
      </c>
      <c r="AO34" s="4">
        <v>7</v>
      </c>
      <c r="AP34" s="4">
        <v>7</v>
      </c>
      <c r="AQ34" s="4">
        <v>8</v>
      </c>
      <c r="AR34" s="4">
        <v>9</v>
      </c>
      <c r="AS34" s="4">
        <v>9</v>
      </c>
      <c r="AT34" s="4">
        <v>10</v>
      </c>
      <c r="AU34" s="4">
        <v>10</v>
      </c>
      <c r="AV34" s="4">
        <v>10</v>
      </c>
      <c r="AW34" s="4">
        <v>10</v>
      </c>
      <c r="AX34" s="4">
        <v>10</v>
      </c>
      <c r="AY34" s="4">
        <v>10</v>
      </c>
      <c r="AZ34" s="4">
        <v>10</v>
      </c>
      <c r="BB34" s="6" t="s">
        <v>32</v>
      </c>
      <c r="BC34" s="2">
        <v>1</v>
      </c>
      <c r="BD34" s="2">
        <v>1</v>
      </c>
      <c r="BE34" s="2">
        <v>1</v>
      </c>
      <c r="BF34" s="2">
        <v>1</v>
      </c>
      <c r="BG34" s="2">
        <v>1</v>
      </c>
      <c r="BH34" s="2">
        <v>1</v>
      </c>
      <c r="BI34" s="2">
        <v>2</v>
      </c>
      <c r="BJ34" s="2">
        <v>3</v>
      </c>
      <c r="BK34" s="3">
        <v>3</v>
      </c>
      <c r="BL34" s="3">
        <v>4</v>
      </c>
      <c r="BM34" s="3">
        <v>5</v>
      </c>
      <c r="BN34" s="3">
        <v>5</v>
      </c>
      <c r="BO34" s="3">
        <v>6</v>
      </c>
      <c r="BP34" s="3">
        <v>6</v>
      </c>
      <c r="BQ34" s="3">
        <v>7</v>
      </c>
      <c r="BR34" s="3">
        <v>7</v>
      </c>
      <c r="BS34" s="3">
        <v>8</v>
      </c>
      <c r="BT34" s="3">
        <v>8</v>
      </c>
      <c r="BU34" s="3">
        <v>9</v>
      </c>
      <c r="BV34" s="3">
        <v>10</v>
      </c>
      <c r="BW34" s="3">
        <v>10</v>
      </c>
      <c r="BX34" s="3">
        <v>10</v>
      </c>
      <c r="BY34" s="3">
        <v>10</v>
      </c>
      <c r="BZ34" s="3">
        <v>10</v>
      </c>
      <c r="CA34" s="3">
        <v>10</v>
      </c>
      <c r="CB34" s="3">
        <v>10</v>
      </c>
      <c r="CC34" s="3">
        <v>10</v>
      </c>
    </row>
    <row r="35" spans="4:81" ht="20.45" customHeight="1" x14ac:dyDescent="0.15">
      <c r="D35" s="22"/>
      <c r="H35" s="86" t="s">
        <v>666</v>
      </c>
      <c r="I35" s="81">
        <f>SUMIF(ответы!B:B,H35,ответы!C:C)</f>
        <v>18</v>
      </c>
      <c r="J35" s="20">
        <v>30</v>
      </c>
      <c r="K35" s="78">
        <f t="shared" ref="K35:K45" si="2">LOOKUP(I35,$Z$83:$AX$83,Z85:AX85)</f>
        <v>8</v>
      </c>
      <c r="L35" s="3"/>
      <c r="Y35" s="52" t="s">
        <v>70</v>
      </c>
      <c r="Z35" s="4">
        <v>1</v>
      </c>
      <c r="AA35" s="4">
        <v>1</v>
      </c>
      <c r="AB35" s="4">
        <v>1</v>
      </c>
      <c r="AC35" s="4">
        <v>1</v>
      </c>
      <c r="AD35" s="4">
        <v>1</v>
      </c>
      <c r="AE35" s="4">
        <v>1</v>
      </c>
      <c r="AF35" s="4">
        <v>2</v>
      </c>
      <c r="AG35" s="4">
        <v>3</v>
      </c>
      <c r="AH35" s="4">
        <v>4</v>
      </c>
      <c r="AI35" s="4">
        <v>5</v>
      </c>
      <c r="AJ35" s="4">
        <v>5</v>
      </c>
      <c r="AK35" s="4">
        <v>6</v>
      </c>
      <c r="AL35" s="4">
        <v>7</v>
      </c>
      <c r="AM35" s="4">
        <v>7</v>
      </c>
      <c r="AN35" s="4">
        <v>8</v>
      </c>
      <c r="AO35" s="4">
        <v>9</v>
      </c>
      <c r="AP35" s="4">
        <v>9</v>
      </c>
      <c r="AQ35" s="4">
        <v>10</v>
      </c>
      <c r="AR35" s="4">
        <v>10</v>
      </c>
      <c r="AS35" s="4">
        <v>10</v>
      </c>
      <c r="AT35" s="4">
        <v>10</v>
      </c>
      <c r="AU35" s="4">
        <v>10</v>
      </c>
      <c r="AV35" s="4">
        <v>10</v>
      </c>
      <c r="AW35" s="4">
        <v>10</v>
      </c>
      <c r="AX35" s="4">
        <v>10</v>
      </c>
      <c r="AY35" s="4">
        <v>10</v>
      </c>
      <c r="AZ35" s="4">
        <v>10</v>
      </c>
      <c r="BB35" s="6" t="s">
        <v>33</v>
      </c>
      <c r="BC35" s="2">
        <v>1</v>
      </c>
      <c r="BD35" s="2">
        <v>1</v>
      </c>
      <c r="BE35" s="2">
        <v>1</v>
      </c>
      <c r="BF35" s="2">
        <v>1</v>
      </c>
      <c r="BG35" s="2">
        <v>1</v>
      </c>
      <c r="BH35" s="2">
        <v>1</v>
      </c>
      <c r="BI35" s="2">
        <v>2</v>
      </c>
      <c r="BJ35" s="2">
        <v>2</v>
      </c>
      <c r="BK35" s="3">
        <v>3</v>
      </c>
      <c r="BL35" s="3">
        <v>4</v>
      </c>
      <c r="BM35" s="3">
        <v>5</v>
      </c>
      <c r="BN35" s="3">
        <v>6</v>
      </c>
      <c r="BO35" s="3">
        <v>6</v>
      </c>
      <c r="BP35" s="3">
        <v>7</v>
      </c>
      <c r="BQ35" s="3">
        <v>8</v>
      </c>
      <c r="BR35" s="3">
        <v>8</v>
      </c>
      <c r="BS35" s="3">
        <v>9</v>
      </c>
      <c r="BT35" s="3">
        <v>10</v>
      </c>
      <c r="BU35" s="3">
        <v>10</v>
      </c>
      <c r="BV35" s="3">
        <v>10</v>
      </c>
      <c r="BW35" s="3">
        <v>10</v>
      </c>
      <c r="BX35" s="3">
        <v>10</v>
      </c>
      <c r="BY35" s="3">
        <v>10</v>
      </c>
      <c r="BZ35" s="3">
        <v>10</v>
      </c>
      <c r="CA35" s="3">
        <v>10</v>
      </c>
      <c r="CB35" s="3">
        <v>10</v>
      </c>
      <c r="CC35" s="3">
        <v>10</v>
      </c>
    </row>
    <row r="36" spans="4:81" ht="20.45" customHeight="1" x14ac:dyDescent="0.15">
      <c r="D36" s="22"/>
      <c r="H36" s="86" t="s">
        <v>664</v>
      </c>
      <c r="I36" s="81">
        <f>SUMIF(ответы!B:B,H36,ответы!C:C)</f>
        <v>5</v>
      </c>
      <c r="J36" s="20">
        <v>30</v>
      </c>
      <c r="K36" s="78">
        <f t="shared" si="2"/>
        <v>2</v>
      </c>
      <c r="L36" s="3"/>
      <c r="Y36" s="52" t="s">
        <v>67</v>
      </c>
      <c r="Z36" s="4">
        <v>1</v>
      </c>
      <c r="AA36" s="4">
        <v>1</v>
      </c>
      <c r="AB36" s="4">
        <v>1</v>
      </c>
      <c r="AC36" s="4">
        <v>1</v>
      </c>
      <c r="AD36" s="4">
        <v>2</v>
      </c>
      <c r="AE36" s="4">
        <v>3</v>
      </c>
      <c r="AF36" s="4">
        <v>3</v>
      </c>
      <c r="AG36" s="4">
        <v>4</v>
      </c>
      <c r="AH36" s="4">
        <v>5</v>
      </c>
      <c r="AI36" s="4">
        <v>5</v>
      </c>
      <c r="AJ36" s="4">
        <v>6</v>
      </c>
      <c r="AK36" s="4">
        <v>6</v>
      </c>
      <c r="AL36" s="4">
        <v>6</v>
      </c>
      <c r="AM36" s="4">
        <v>7</v>
      </c>
      <c r="AN36" s="4">
        <v>7</v>
      </c>
      <c r="AO36" s="4">
        <v>8</v>
      </c>
      <c r="AP36" s="4">
        <v>8</v>
      </c>
      <c r="AQ36" s="4">
        <v>9</v>
      </c>
      <c r="AR36" s="4">
        <v>9</v>
      </c>
      <c r="AS36" s="4">
        <v>10</v>
      </c>
      <c r="AT36" s="4">
        <v>10</v>
      </c>
      <c r="AU36" s="4">
        <v>10</v>
      </c>
      <c r="AV36" s="4">
        <v>10</v>
      </c>
      <c r="AW36" s="4">
        <v>10</v>
      </c>
      <c r="AX36" s="4">
        <v>10</v>
      </c>
      <c r="AY36" s="4">
        <v>10</v>
      </c>
      <c r="AZ36" s="4">
        <v>10</v>
      </c>
      <c r="BB36" s="6" t="s">
        <v>38</v>
      </c>
      <c r="BC36" s="2">
        <v>1</v>
      </c>
      <c r="BD36" s="2">
        <v>1</v>
      </c>
      <c r="BE36" s="2">
        <v>1</v>
      </c>
      <c r="BF36" s="2">
        <v>1</v>
      </c>
      <c r="BG36" s="13">
        <v>2</v>
      </c>
      <c r="BH36" s="2">
        <v>3</v>
      </c>
      <c r="BI36" s="2">
        <v>3</v>
      </c>
      <c r="BJ36" s="2">
        <v>4</v>
      </c>
      <c r="BK36" s="3">
        <v>4</v>
      </c>
      <c r="BL36" s="3">
        <v>5</v>
      </c>
      <c r="BM36" s="3">
        <v>6</v>
      </c>
      <c r="BN36" s="3">
        <v>6</v>
      </c>
      <c r="BO36" s="3">
        <v>7</v>
      </c>
      <c r="BP36" s="3">
        <v>7</v>
      </c>
      <c r="BQ36" s="3">
        <v>8</v>
      </c>
      <c r="BR36" s="3">
        <v>8</v>
      </c>
      <c r="BS36" s="3">
        <v>9</v>
      </c>
      <c r="BT36" s="3">
        <v>9</v>
      </c>
      <c r="BU36" s="3">
        <v>10</v>
      </c>
      <c r="BV36" s="3">
        <v>10</v>
      </c>
      <c r="BW36" s="3">
        <v>10</v>
      </c>
      <c r="BX36" s="3">
        <v>10</v>
      </c>
      <c r="BY36" s="3">
        <v>10</v>
      </c>
      <c r="BZ36" s="3">
        <v>10</v>
      </c>
      <c r="CA36" s="3">
        <v>10</v>
      </c>
      <c r="CB36" s="3">
        <v>10</v>
      </c>
      <c r="CC36" s="3">
        <v>10</v>
      </c>
    </row>
    <row r="37" spans="4:81" ht="20.45" customHeight="1" x14ac:dyDescent="0.15">
      <c r="D37" s="22"/>
      <c r="H37" s="86" t="s">
        <v>665</v>
      </c>
      <c r="I37" s="81">
        <f>SUMIF(ответы!B:B,H37,ответы!C:C)</f>
        <v>0</v>
      </c>
      <c r="J37" s="20">
        <v>30</v>
      </c>
      <c r="K37" s="78">
        <f t="shared" si="2"/>
        <v>0</v>
      </c>
      <c r="L37" s="3"/>
      <c r="Y37" s="52" t="s">
        <v>77</v>
      </c>
      <c r="Z37" s="4">
        <v>1</v>
      </c>
      <c r="AA37" s="4">
        <v>1</v>
      </c>
      <c r="AB37" s="4">
        <v>1</v>
      </c>
      <c r="AC37" s="4">
        <v>1</v>
      </c>
      <c r="AD37" s="4">
        <v>2</v>
      </c>
      <c r="AE37" s="4">
        <v>3</v>
      </c>
      <c r="AF37" s="4">
        <v>4</v>
      </c>
      <c r="AG37" s="4">
        <v>4</v>
      </c>
      <c r="AH37" s="4">
        <v>5</v>
      </c>
      <c r="AI37" s="4">
        <v>6</v>
      </c>
      <c r="AJ37" s="4">
        <v>7</v>
      </c>
      <c r="AK37" s="4">
        <v>7</v>
      </c>
      <c r="AL37" s="4">
        <v>8</v>
      </c>
      <c r="AM37" s="4">
        <v>8</v>
      </c>
      <c r="AN37" s="4">
        <v>9</v>
      </c>
      <c r="AO37" s="4">
        <v>10</v>
      </c>
      <c r="AP37" s="4">
        <v>10</v>
      </c>
      <c r="AQ37" s="4">
        <v>10</v>
      </c>
      <c r="AR37" s="4">
        <v>10</v>
      </c>
      <c r="AS37" s="4">
        <v>10</v>
      </c>
      <c r="AT37" s="4">
        <v>10</v>
      </c>
      <c r="AU37" s="4">
        <v>10</v>
      </c>
      <c r="AV37" s="4">
        <v>10</v>
      </c>
      <c r="AW37" s="4">
        <v>10</v>
      </c>
      <c r="AX37" s="4">
        <v>10</v>
      </c>
      <c r="AY37" s="4">
        <v>10</v>
      </c>
      <c r="AZ37" s="4">
        <v>10</v>
      </c>
      <c r="BB37" s="6" t="s">
        <v>34</v>
      </c>
      <c r="BC37" s="2">
        <v>1</v>
      </c>
      <c r="BD37" s="2">
        <v>1</v>
      </c>
      <c r="BE37" s="2">
        <v>1</v>
      </c>
      <c r="BF37" s="2">
        <v>1</v>
      </c>
      <c r="BG37" s="2">
        <v>1</v>
      </c>
      <c r="BH37" s="2">
        <v>2</v>
      </c>
      <c r="BI37" s="2">
        <v>3</v>
      </c>
      <c r="BJ37" s="2">
        <v>4</v>
      </c>
      <c r="BK37" s="3">
        <v>4</v>
      </c>
      <c r="BL37" s="3">
        <v>5</v>
      </c>
      <c r="BM37" s="3">
        <v>6</v>
      </c>
      <c r="BN37" s="3">
        <v>7</v>
      </c>
      <c r="BO37" s="3">
        <v>7</v>
      </c>
      <c r="BP37" s="3">
        <v>8</v>
      </c>
      <c r="BQ37" s="3">
        <v>9</v>
      </c>
      <c r="BR37" s="3">
        <v>9</v>
      </c>
      <c r="BS37" s="3">
        <v>10</v>
      </c>
      <c r="BT37" s="3">
        <v>10</v>
      </c>
      <c r="BU37" s="3">
        <v>10</v>
      </c>
      <c r="BV37" s="3">
        <v>10</v>
      </c>
      <c r="BW37" s="3">
        <v>10</v>
      </c>
      <c r="BX37" s="3">
        <v>10</v>
      </c>
      <c r="BY37" s="3">
        <v>10</v>
      </c>
      <c r="BZ37" s="3">
        <v>10</v>
      </c>
      <c r="CA37" s="3">
        <v>10</v>
      </c>
      <c r="CB37" s="3">
        <v>10</v>
      </c>
      <c r="CC37" s="3">
        <v>10</v>
      </c>
    </row>
    <row r="38" spans="4:81" ht="20.45" customHeight="1" x14ac:dyDescent="0.15">
      <c r="D38" s="22"/>
      <c r="H38" s="52" t="s">
        <v>667</v>
      </c>
      <c r="I38" s="81">
        <f>SUMIF(ответы!B:B,H38,ответы!C:C)</f>
        <v>10</v>
      </c>
      <c r="J38" s="20">
        <v>30</v>
      </c>
      <c r="K38" s="78">
        <f t="shared" si="2"/>
        <v>3</v>
      </c>
      <c r="L38" s="3"/>
      <c r="Y38" s="52" t="s">
        <v>74</v>
      </c>
      <c r="Z38" s="4">
        <v>1</v>
      </c>
      <c r="AA38" s="4">
        <v>1</v>
      </c>
      <c r="AB38" s="4">
        <v>1</v>
      </c>
      <c r="AC38" s="4">
        <v>1</v>
      </c>
      <c r="AD38" s="4">
        <v>2</v>
      </c>
      <c r="AE38" s="4">
        <v>3</v>
      </c>
      <c r="AF38" s="4">
        <v>3</v>
      </c>
      <c r="AG38" s="4">
        <v>4</v>
      </c>
      <c r="AH38" s="4">
        <v>5</v>
      </c>
      <c r="AI38" s="4">
        <v>5</v>
      </c>
      <c r="AJ38" s="4">
        <v>6</v>
      </c>
      <c r="AK38" s="4">
        <v>6</v>
      </c>
      <c r="AL38" s="4">
        <v>7</v>
      </c>
      <c r="AM38" s="4">
        <v>7</v>
      </c>
      <c r="AN38" s="4">
        <v>8</v>
      </c>
      <c r="AO38" s="4">
        <v>8</v>
      </c>
      <c r="AP38" s="4">
        <v>9</v>
      </c>
      <c r="AQ38" s="4">
        <v>9</v>
      </c>
      <c r="AR38" s="4">
        <v>10</v>
      </c>
      <c r="AS38" s="4">
        <v>10</v>
      </c>
      <c r="AT38" s="4">
        <v>10</v>
      </c>
      <c r="AU38" s="4">
        <v>10</v>
      </c>
      <c r="AV38" s="4">
        <v>10</v>
      </c>
      <c r="AW38" s="4">
        <v>10</v>
      </c>
      <c r="AX38" s="4">
        <v>10</v>
      </c>
      <c r="AY38" s="4">
        <v>10</v>
      </c>
      <c r="AZ38" s="4">
        <v>10</v>
      </c>
      <c r="BB38" s="6" t="s">
        <v>39</v>
      </c>
      <c r="BC38" s="2">
        <v>1</v>
      </c>
      <c r="BD38" s="2">
        <v>1</v>
      </c>
      <c r="BE38" s="2">
        <v>1</v>
      </c>
      <c r="BF38" s="2">
        <v>1</v>
      </c>
      <c r="BG38" s="2">
        <v>2</v>
      </c>
      <c r="BH38" s="2">
        <v>3</v>
      </c>
      <c r="BI38" s="2">
        <v>3</v>
      </c>
      <c r="BJ38" s="2">
        <v>4</v>
      </c>
      <c r="BK38" s="3">
        <v>5</v>
      </c>
      <c r="BL38" s="3">
        <v>5</v>
      </c>
      <c r="BM38" s="3">
        <v>6</v>
      </c>
      <c r="BN38" s="3">
        <v>6</v>
      </c>
      <c r="BO38" s="3">
        <v>7</v>
      </c>
      <c r="BP38" s="3">
        <v>7</v>
      </c>
      <c r="BQ38" s="3">
        <v>8</v>
      </c>
      <c r="BR38" s="3">
        <v>8</v>
      </c>
      <c r="BS38" s="3">
        <v>9</v>
      </c>
      <c r="BT38" s="3">
        <v>9</v>
      </c>
      <c r="BU38" s="3">
        <v>10</v>
      </c>
      <c r="BV38" s="3">
        <v>10</v>
      </c>
      <c r="BW38" s="3">
        <v>10</v>
      </c>
      <c r="BX38" s="3">
        <v>10</v>
      </c>
      <c r="BY38" s="3">
        <v>10</v>
      </c>
      <c r="BZ38" s="3">
        <v>10</v>
      </c>
      <c r="CA38" s="3">
        <v>10</v>
      </c>
      <c r="CB38" s="3">
        <v>10</v>
      </c>
      <c r="CC38" s="3">
        <v>10</v>
      </c>
    </row>
    <row r="39" spans="4:81" ht="20.45" customHeight="1" x14ac:dyDescent="0.15">
      <c r="D39" s="22"/>
      <c r="H39" s="52" t="s">
        <v>661</v>
      </c>
      <c r="I39" s="81">
        <f>SUMIF(ответы!B:B,H39,ответы!C:C)</f>
        <v>18</v>
      </c>
      <c r="J39" s="20">
        <v>30</v>
      </c>
      <c r="K39" s="78">
        <f t="shared" si="2"/>
        <v>7</v>
      </c>
      <c r="L39" s="3"/>
      <c r="Y39" s="52" t="s">
        <v>76</v>
      </c>
      <c r="Z39" s="4">
        <v>1</v>
      </c>
      <c r="AA39" s="4">
        <v>1</v>
      </c>
      <c r="AB39" s="4">
        <v>1</v>
      </c>
      <c r="AC39" s="4">
        <v>1</v>
      </c>
      <c r="AD39" s="4">
        <v>1</v>
      </c>
      <c r="AE39" s="4">
        <v>2</v>
      </c>
      <c r="AF39" s="4">
        <v>3</v>
      </c>
      <c r="AG39" s="4">
        <v>3</v>
      </c>
      <c r="AH39" s="4">
        <v>4</v>
      </c>
      <c r="AI39" s="4">
        <v>4</v>
      </c>
      <c r="AJ39" s="4">
        <v>5</v>
      </c>
      <c r="AK39" s="4">
        <v>6</v>
      </c>
      <c r="AL39" s="4">
        <v>6</v>
      </c>
      <c r="AM39" s="4">
        <v>7</v>
      </c>
      <c r="AN39" s="4">
        <v>8</v>
      </c>
      <c r="AO39" s="4">
        <v>9</v>
      </c>
      <c r="AP39" s="4">
        <v>9</v>
      </c>
      <c r="AQ39" s="4">
        <v>10</v>
      </c>
      <c r="AR39" s="4">
        <v>10</v>
      </c>
      <c r="AS39" s="4">
        <v>10</v>
      </c>
      <c r="AT39" s="4">
        <v>10</v>
      </c>
      <c r="AU39" s="4">
        <v>10</v>
      </c>
      <c r="AV39" s="4">
        <v>10</v>
      </c>
      <c r="AW39" s="4">
        <v>10</v>
      </c>
      <c r="AX39" s="4">
        <v>10</v>
      </c>
      <c r="AY39" s="4">
        <v>10</v>
      </c>
      <c r="AZ39" s="4">
        <v>10</v>
      </c>
      <c r="BB39" s="6" t="s">
        <v>35</v>
      </c>
      <c r="BC39" s="2">
        <v>1</v>
      </c>
      <c r="BD39" s="2">
        <v>1</v>
      </c>
      <c r="BE39" s="2">
        <v>1</v>
      </c>
      <c r="BF39" s="2">
        <v>1</v>
      </c>
      <c r="BG39" s="2">
        <v>2</v>
      </c>
      <c r="BH39" s="2">
        <v>2</v>
      </c>
      <c r="BI39" s="2">
        <v>3</v>
      </c>
      <c r="BJ39" s="2">
        <v>4</v>
      </c>
      <c r="BK39" s="3">
        <v>4</v>
      </c>
      <c r="BL39" s="3">
        <v>5</v>
      </c>
      <c r="BM39" s="3">
        <v>5</v>
      </c>
      <c r="BN39" s="3">
        <v>6</v>
      </c>
      <c r="BO39" s="3">
        <v>7</v>
      </c>
      <c r="BP39" s="3">
        <v>7</v>
      </c>
      <c r="BQ39" s="3">
        <v>8</v>
      </c>
      <c r="BR39" s="3">
        <v>9</v>
      </c>
      <c r="BS39" s="3">
        <v>9</v>
      </c>
      <c r="BT39" s="3">
        <v>10</v>
      </c>
      <c r="BU39" s="3">
        <v>10</v>
      </c>
      <c r="BV39" s="3">
        <v>10</v>
      </c>
      <c r="BW39" s="3">
        <v>10</v>
      </c>
      <c r="BX39" s="3">
        <v>10</v>
      </c>
      <c r="BY39" s="3">
        <v>10</v>
      </c>
      <c r="BZ39" s="3">
        <v>10</v>
      </c>
      <c r="CA39" s="3">
        <v>10</v>
      </c>
      <c r="CB39" s="3">
        <v>10</v>
      </c>
      <c r="CC39" s="3">
        <v>10</v>
      </c>
    </row>
    <row r="40" spans="4:81" ht="20.45" customHeight="1" x14ac:dyDescent="0.15">
      <c r="D40" s="22"/>
      <c r="H40" s="52" t="s">
        <v>662</v>
      </c>
      <c r="I40" s="81">
        <f>SUMIF(ответы!B:B,H40,ответы!C:C)</f>
        <v>0</v>
      </c>
      <c r="J40" s="20">
        <v>33</v>
      </c>
      <c r="K40" s="78">
        <f t="shared" si="2"/>
        <v>0</v>
      </c>
      <c r="L40" s="3"/>
      <c r="Y40" s="52" t="s">
        <v>68</v>
      </c>
      <c r="Z40" s="4">
        <v>1</v>
      </c>
      <c r="AA40" s="4">
        <v>1</v>
      </c>
      <c r="AB40" s="4">
        <v>1</v>
      </c>
      <c r="AC40" s="4">
        <v>1</v>
      </c>
      <c r="AD40" s="4">
        <v>2</v>
      </c>
      <c r="AE40" s="4">
        <v>2</v>
      </c>
      <c r="AF40" s="4">
        <v>3</v>
      </c>
      <c r="AG40" s="4">
        <v>3</v>
      </c>
      <c r="AH40" s="4">
        <v>4</v>
      </c>
      <c r="AI40" s="4">
        <v>4</v>
      </c>
      <c r="AJ40" s="4">
        <v>4</v>
      </c>
      <c r="AK40" s="4">
        <v>5</v>
      </c>
      <c r="AL40" s="4">
        <v>5</v>
      </c>
      <c r="AM40" s="4">
        <v>6</v>
      </c>
      <c r="AN40" s="4">
        <v>6</v>
      </c>
      <c r="AO40" s="4">
        <v>6</v>
      </c>
      <c r="AP40" s="4">
        <v>7</v>
      </c>
      <c r="AQ40" s="4">
        <v>7</v>
      </c>
      <c r="AR40" s="4">
        <v>7</v>
      </c>
      <c r="AS40" s="4">
        <v>8</v>
      </c>
      <c r="AT40" s="4">
        <v>8</v>
      </c>
      <c r="AU40" s="4">
        <v>9</v>
      </c>
      <c r="AV40" s="4">
        <v>9</v>
      </c>
      <c r="AW40" s="4">
        <v>10</v>
      </c>
      <c r="AX40" s="4">
        <v>10</v>
      </c>
      <c r="AY40" s="4">
        <v>10</v>
      </c>
      <c r="AZ40" s="4">
        <v>10</v>
      </c>
      <c r="BB40" s="6" t="s">
        <v>36</v>
      </c>
      <c r="BC40" s="2">
        <v>1</v>
      </c>
      <c r="BD40" s="2">
        <v>1</v>
      </c>
      <c r="BE40" s="2">
        <v>1</v>
      </c>
      <c r="BF40" s="2">
        <v>1</v>
      </c>
      <c r="BG40" s="2">
        <v>2</v>
      </c>
      <c r="BH40" s="2">
        <v>3</v>
      </c>
      <c r="BI40" s="2">
        <v>3</v>
      </c>
      <c r="BJ40" s="2">
        <v>3</v>
      </c>
      <c r="BK40" s="3">
        <v>4</v>
      </c>
      <c r="BL40" s="3">
        <v>4</v>
      </c>
      <c r="BM40" s="3">
        <v>5</v>
      </c>
      <c r="BN40" s="3">
        <v>5</v>
      </c>
      <c r="BO40" s="3">
        <v>5</v>
      </c>
      <c r="BP40" s="3">
        <v>6</v>
      </c>
      <c r="BQ40" s="3">
        <v>6</v>
      </c>
      <c r="BR40" s="3">
        <v>7</v>
      </c>
      <c r="BS40" s="3">
        <v>7</v>
      </c>
      <c r="BT40" s="3">
        <v>7</v>
      </c>
      <c r="BU40" s="3">
        <v>8</v>
      </c>
      <c r="BV40" s="3">
        <v>8</v>
      </c>
      <c r="BW40" s="3">
        <v>9</v>
      </c>
      <c r="BX40" s="3">
        <v>9</v>
      </c>
      <c r="BY40" s="3">
        <v>10</v>
      </c>
      <c r="BZ40" s="3">
        <v>10</v>
      </c>
      <c r="CA40" s="3">
        <v>10</v>
      </c>
      <c r="CB40" s="3">
        <v>10</v>
      </c>
      <c r="CC40" s="3">
        <v>10</v>
      </c>
    </row>
    <row r="41" spans="4:81" ht="18" x14ac:dyDescent="0.15">
      <c r="D41" s="22"/>
      <c r="H41" s="52" t="s">
        <v>668</v>
      </c>
      <c r="I41" s="81">
        <f>SUMIF(ответы!B:B,H41,ответы!C:C)</f>
        <v>10</v>
      </c>
      <c r="J41" s="20">
        <v>30</v>
      </c>
      <c r="K41" s="78">
        <f t="shared" si="2"/>
        <v>3</v>
      </c>
      <c r="L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4:81" ht="18" x14ac:dyDescent="0.15">
      <c r="D42" s="22"/>
      <c r="H42" s="86" t="s">
        <v>669</v>
      </c>
      <c r="I42" s="81">
        <f>SUMIF(ответы!B:B,H42,ответы!C:C)</f>
        <v>0</v>
      </c>
      <c r="J42" s="20">
        <v>30</v>
      </c>
      <c r="K42" s="78">
        <f t="shared" si="2"/>
        <v>0</v>
      </c>
      <c r="L42" s="3"/>
      <c r="Y42" s="30" t="s">
        <v>58</v>
      </c>
      <c r="Z42" s="33"/>
      <c r="AA42" s="33"/>
      <c r="AB42" s="33"/>
      <c r="AC42" s="33"/>
      <c r="AD42" s="33"/>
      <c r="AE42" s="33"/>
      <c r="AF42" s="33"/>
      <c r="AG42" s="33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8"/>
      <c r="AZ42" s="38"/>
      <c r="BB42" s="39" t="s">
        <v>59</v>
      </c>
      <c r="BC42" s="39"/>
      <c r="BD42" s="39"/>
      <c r="BE42" s="39"/>
      <c r="BF42" s="39"/>
      <c r="BG42" s="39"/>
      <c r="BH42" s="39"/>
      <c r="BI42" s="39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</row>
    <row r="43" spans="4:81" ht="18" x14ac:dyDescent="0.15">
      <c r="D43" s="22"/>
      <c r="H43" s="86" t="s">
        <v>670</v>
      </c>
      <c r="I43" s="81">
        <f>SUMIF(ответы!B:B,H43,ответы!C:C)</f>
        <v>15</v>
      </c>
      <c r="J43" s="20">
        <v>30</v>
      </c>
      <c r="K43" s="78">
        <f t="shared" si="2"/>
        <v>6</v>
      </c>
      <c r="L43" s="3"/>
      <c r="Y43" s="32" t="s">
        <v>40</v>
      </c>
      <c r="Z43" s="64">
        <v>0</v>
      </c>
      <c r="AA43" s="64">
        <v>1</v>
      </c>
      <c r="AB43" s="64">
        <v>2</v>
      </c>
      <c r="AC43" s="64">
        <v>3</v>
      </c>
      <c r="AD43" s="64">
        <v>4</v>
      </c>
      <c r="AE43" s="64">
        <v>5</v>
      </c>
      <c r="AF43" s="64">
        <v>6</v>
      </c>
      <c r="AG43" s="64">
        <v>7</v>
      </c>
      <c r="AH43" s="64">
        <v>8</v>
      </c>
      <c r="AI43" s="64">
        <v>9</v>
      </c>
      <c r="AJ43" s="64">
        <v>10</v>
      </c>
      <c r="AK43" s="64">
        <v>11</v>
      </c>
      <c r="AL43" s="64">
        <v>12</v>
      </c>
      <c r="AM43" s="64">
        <v>13</v>
      </c>
      <c r="AN43" s="64">
        <v>14</v>
      </c>
      <c r="AO43" s="64">
        <v>15</v>
      </c>
      <c r="AP43" s="64">
        <v>16</v>
      </c>
      <c r="AQ43" s="64">
        <v>17</v>
      </c>
      <c r="AR43" s="64">
        <v>18</v>
      </c>
      <c r="AS43" s="64">
        <v>19</v>
      </c>
      <c r="AT43" s="64">
        <v>20</v>
      </c>
      <c r="AU43" s="64">
        <v>21</v>
      </c>
      <c r="AV43" s="64">
        <v>22</v>
      </c>
      <c r="AW43" s="64">
        <v>23</v>
      </c>
      <c r="AX43" s="64">
        <v>24</v>
      </c>
      <c r="AY43" s="65">
        <v>25</v>
      </c>
      <c r="AZ43" s="65">
        <v>26</v>
      </c>
      <c r="BB43" s="40" t="s">
        <v>40</v>
      </c>
      <c r="BC43" s="41">
        <v>0</v>
      </c>
      <c r="BD43" s="41">
        <v>1</v>
      </c>
      <c r="BE43" s="41">
        <v>2</v>
      </c>
      <c r="BF43" s="41">
        <v>3</v>
      </c>
      <c r="BG43" s="41">
        <v>4</v>
      </c>
      <c r="BH43" s="41">
        <v>5</v>
      </c>
      <c r="BI43" s="41">
        <v>6</v>
      </c>
      <c r="BJ43" s="41">
        <v>7</v>
      </c>
      <c r="BK43" s="41">
        <v>8</v>
      </c>
      <c r="BL43" s="41">
        <v>9</v>
      </c>
      <c r="BM43" s="41">
        <v>10</v>
      </c>
      <c r="BN43" s="41">
        <v>11</v>
      </c>
      <c r="BO43" s="41">
        <v>12</v>
      </c>
      <c r="BP43" s="41">
        <v>13</v>
      </c>
      <c r="BQ43" s="41">
        <v>14</v>
      </c>
      <c r="BR43" s="41">
        <v>15</v>
      </c>
      <c r="BS43" s="41">
        <v>16</v>
      </c>
      <c r="BT43" s="41">
        <v>17</v>
      </c>
      <c r="BU43" s="41">
        <v>18</v>
      </c>
      <c r="BV43" s="41">
        <v>19</v>
      </c>
      <c r="BW43" s="41">
        <v>20</v>
      </c>
      <c r="BX43" s="41">
        <v>21</v>
      </c>
      <c r="BY43" s="41">
        <v>22</v>
      </c>
      <c r="BZ43" s="41">
        <v>23</v>
      </c>
      <c r="CA43" s="41">
        <v>24</v>
      </c>
      <c r="CB43" s="41">
        <v>25</v>
      </c>
      <c r="CC43" s="41">
        <v>26</v>
      </c>
    </row>
    <row r="44" spans="4:81" ht="22.15" customHeight="1" x14ac:dyDescent="0.15">
      <c r="D44" s="22"/>
      <c r="H44" s="86" t="s">
        <v>671</v>
      </c>
      <c r="I44" s="81">
        <f>SUMIF(ответы!B:B,H44,ответы!C:C)</f>
        <v>13</v>
      </c>
      <c r="J44" s="20">
        <v>33</v>
      </c>
      <c r="K44" s="78">
        <f t="shared" si="2"/>
        <v>6</v>
      </c>
      <c r="L44" s="3"/>
      <c r="Y44" s="52" t="s">
        <v>72</v>
      </c>
      <c r="Z44" s="3">
        <v>1</v>
      </c>
      <c r="AA44" s="3">
        <v>1</v>
      </c>
      <c r="AB44" s="3">
        <v>1</v>
      </c>
      <c r="AC44" s="3">
        <v>1</v>
      </c>
      <c r="AD44" s="3">
        <v>1</v>
      </c>
      <c r="AE44" s="3">
        <v>2</v>
      </c>
      <c r="AF44" s="3">
        <v>2</v>
      </c>
      <c r="AG44" s="3">
        <v>3</v>
      </c>
      <c r="AH44" s="3">
        <v>3</v>
      </c>
      <c r="AI44" s="3">
        <v>4</v>
      </c>
      <c r="AJ44" s="3">
        <v>4</v>
      </c>
      <c r="AK44" s="3">
        <v>5</v>
      </c>
      <c r="AL44" s="3">
        <v>6</v>
      </c>
      <c r="AM44" s="3">
        <v>6</v>
      </c>
      <c r="AN44" s="3">
        <v>7</v>
      </c>
      <c r="AO44" s="3">
        <v>7</v>
      </c>
      <c r="AP44" s="3">
        <v>8</v>
      </c>
      <c r="AQ44" s="3">
        <v>9</v>
      </c>
      <c r="AR44" s="3">
        <v>9</v>
      </c>
      <c r="AS44" s="3">
        <v>10</v>
      </c>
      <c r="AT44" s="3">
        <v>10</v>
      </c>
      <c r="AU44" s="3">
        <v>10</v>
      </c>
      <c r="AV44" s="3">
        <v>10</v>
      </c>
      <c r="AW44" s="3">
        <v>10</v>
      </c>
      <c r="AX44" s="3">
        <v>10</v>
      </c>
      <c r="AY44" s="3">
        <v>10</v>
      </c>
      <c r="AZ44" s="3">
        <v>10</v>
      </c>
      <c r="BB44" s="6" t="s">
        <v>27</v>
      </c>
      <c r="BC44" s="3">
        <v>1</v>
      </c>
      <c r="BD44" s="3">
        <v>1</v>
      </c>
      <c r="BE44" s="3">
        <v>1</v>
      </c>
      <c r="BF44" s="3">
        <v>1</v>
      </c>
      <c r="BG44" s="3">
        <v>2</v>
      </c>
      <c r="BH44" s="3">
        <v>3</v>
      </c>
      <c r="BI44" s="3">
        <v>3</v>
      </c>
      <c r="BJ44" s="3">
        <v>4</v>
      </c>
      <c r="BK44" s="3">
        <v>5</v>
      </c>
      <c r="BL44" s="3">
        <v>5</v>
      </c>
      <c r="BM44" s="3">
        <v>6</v>
      </c>
      <c r="BN44" s="3">
        <v>6</v>
      </c>
      <c r="BO44" s="3">
        <v>7</v>
      </c>
      <c r="BP44" s="3">
        <v>7</v>
      </c>
      <c r="BQ44" s="3">
        <v>8</v>
      </c>
      <c r="BR44" s="3">
        <v>9</v>
      </c>
      <c r="BS44" s="3">
        <v>9</v>
      </c>
      <c r="BT44" s="3">
        <v>10</v>
      </c>
      <c r="BU44" s="3">
        <v>10</v>
      </c>
      <c r="BV44" s="3">
        <v>10</v>
      </c>
      <c r="BW44" s="3">
        <v>10</v>
      </c>
      <c r="BX44" s="3">
        <v>10</v>
      </c>
      <c r="BY44" s="3">
        <v>10</v>
      </c>
      <c r="BZ44" s="3">
        <v>10</v>
      </c>
      <c r="CA44" s="3">
        <v>10</v>
      </c>
      <c r="CB44" s="3">
        <v>10</v>
      </c>
      <c r="CC44" s="3">
        <v>10</v>
      </c>
    </row>
    <row r="45" spans="4:81" ht="22.15" customHeight="1" x14ac:dyDescent="0.15">
      <c r="H45" s="86" t="s">
        <v>672</v>
      </c>
      <c r="I45" s="81">
        <f>SUMIF(ответы!B:B,H45,ответы!C:C)</f>
        <v>3</v>
      </c>
      <c r="J45" s="20">
        <v>30</v>
      </c>
      <c r="K45" s="78">
        <f t="shared" si="2"/>
        <v>1</v>
      </c>
      <c r="L45" s="3"/>
      <c r="Y45" s="52" t="s">
        <v>66</v>
      </c>
      <c r="Z45" s="3">
        <v>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2</v>
      </c>
      <c r="AI45" s="3">
        <v>2</v>
      </c>
      <c r="AJ45" s="3">
        <v>3</v>
      </c>
      <c r="AK45" s="14">
        <v>3</v>
      </c>
      <c r="AL45" s="3">
        <v>4</v>
      </c>
      <c r="AM45" s="14">
        <v>4</v>
      </c>
      <c r="AN45" s="3">
        <v>5</v>
      </c>
      <c r="AO45" s="3">
        <v>5</v>
      </c>
      <c r="AP45" s="3">
        <v>6</v>
      </c>
      <c r="AQ45" s="3">
        <v>6</v>
      </c>
      <c r="AR45" s="3">
        <v>7</v>
      </c>
      <c r="AS45" s="3">
        <v>7</v>
      </c>
      <c r="AT45" s="3">
        <v>7</v>
      </c>
      <c r="AU45" s="3">
        <v>8</v>
      </c>
      <c r="AV45" s="3">
        <v>8</v>
      </c>
      <c r="AW45" s="3">
        <v>9</v>
      </c>
      <c r="AX45" s="3">
        <v>9</v>
      </c>
      <c r="AY45" s="3">
        <v>10</v>
      </c>
      <c r="AZ45" s="3">
        <v>10</v>
      </c>
      <c r="BB45" s="6" t="s">
        <v>37</v>
      </c>
      <c r="BC45" s="3">
        <v>1</v>
      </c>
      <c r="BD45" s="3">
        <v>1</v>
      </c>
      <c r="BE45" s="3">
        <v>1</v>
      </c>
      <c r="BF45" s="3">
        <v>1</v>
      </c>
      <c r="BG45" s="3">
        <v>1</v>
      </c>
      <c r="BH45" s="3">
        <v>1</v>
      </c>
      <c r="BI45" s="3">
        <v>1</v>
      </c>
      <c r="BJ45" s="3">
        <v>1</v>
      </c>
      <c r="BK45" s="3">
        <v>2</v>
      </c>
      <c r="BL45" s="3">
        <v>2</v>
      </c>
      <c r="BM45" s="3">
        <v>2</v>
      </c>
      <c r="BN45" s="3">
        <v>3</v>
      </c>
      <c r="BO45" s="3">
        <v>3</v>
      </c>
      <c r="BP45" s="3">
        <v>4</v>
      </c>
      <c r="BQ45" s="3">
        <v>4</v>
      </c>
      <c r="BR45" s="3">
        <v>5</v>
      </c>
      <c r="BS45" s="3">
        <v>5</v>
      </c>
      <c r="BT45" s="3">
        <v>6</v>
      </c>
      <c r="BU45" s="3">
        <v>7</v>
      </c>
      <c r="BV45" s="3">
        <v>7</v>
      </c>
      <c r="BW45" s="3">
        <v>8</v>
      </c>
      <c r="BX45" s="3">
        <v>8</v>
      </c>
      <c r="BY45" s="3">
        <v>9</v>
      </c>
      <c r="BZ45" s="3">
        <v>9</v>
      </c>
      <c r="CA45" s="3">
        <v>10</v>
      </c>
      <c r="CB45" s="3">
        <v>10</v>
      </c>
      <c r="CC45" s="3">
        <v>10</v>
      </c>
    </row>
    <row r="46" spans="4:81" ht="17.45" customHeight="1" x14ac:dyDescent="0.25">
      <c r="I46" s="3"/>
      <c r="J46" s="3"/>
      <c r="K46" s="3"/>
      <c r="L46" s="3"/>
      <c r="O46" s="3"/>
      <c r="P46"/>
      <c r="Y46" s="9" t="s">
        <v>80</v>
      </c>
      <c r="Z46" s="3">
        <v>1</v>
      </c>
      <c r="AA46" s="3">
        <v>1</v>
      </c>
      <c r="AB46" s="3">
        <v>1</v>
      </c>
      <c r="AC46" s="3">
        <v>2</v>
      </c>
      <c r="AD46" s="3">
        <v>3</v>
      </c>
      <c r="AE46" s="3">
        <v>3</v>
      </c>
      <c r="AF46" s="3">
        <v>4</v>
      </c>
      <c r="AG46" s="3">
        <v>4</v>
      </c>
      <c r="AH46" s="3">
        <v>5</v>
      </c>
      <c r="AI46" s="3">
        <v>5</v>
      </c>
      <c r="AJ46" s="3">
        <v>6</v>
      </c>
      <c r="AK46" s="3">
        <v>6</v>
      </c>
      <c r="AL46" s="3">
        <v>7</v>
      </c>
      <c r="AM46" s="3">
        <v>7</v>
      </c>
      <c r="AN46" s="3">
        <v>7</v>
      </c>
      <c r="AO46" s="3">
        <v>8</v>
      </c>
      <c r="AP46" s="3">
        <v>8</v>
      </c>
      <c r="AQ46" s="3">
        <v>9</v>
      </c>
      <c r="AR46" s="3">
        <v>9</v>
      </c>
      <c r="AS46" s="3">
        <v>10</v>
      </c>
      <c r="AT46" s="3">
        <v>10</v>
      </c>
      <c r="AU46" s="3">
        <v>10</v>
      </c>
      <c r="AV46" s="3">
        <v>10</v>
      </c>
      <c r="AW46" s="3">
        <v>10</v>
      </c>
      <c r="AX46" s="3">
        <v>10</v>
      </c>
      <c r="AY46" s="3">
        <v>10</v>
      </c>
      <c r="AZ46" s="3">
        <v>10</v>
      </c>
      <c r="BB46" s="6" t="s">
        <v>28</v>
      </c>
      <c r="BC46" s="3">
        <v>1</v>
      </c>
      <c r="BD46" s="3">
        <v>1</v>
      </c>
      <c r="BE46" s="3">
        <v>1</v>
      </c>
      <c r="BF46" s="3">
        <v>1</v>
      </c>
      <c r="BG46" s="3">
        <v>1</v>
      </c>
      <c r="BH46" s="3">
        <v>1</v>
      </c>
      <c r="BI46" s="3">
        <v>2</v>
      </c>
      <c r="BJ46" s="3">
        <v>2</v>
      </c>
      <c r="BK46" s="3">
        <v>3</v>
      </c>
      <c r="BL46" s="3">
        <v>3</v>
      </c>
      <c r="BM46" s="3">
        <v>4</v>
      </c>
      <c r="BN46" s="3">
        <v>4</v>
      </c>
      <c r="BO46" s="3">
        <v>5</v>
      </c>
      <c r="BP46" s="3">
        <v>5</v>
      </c>
      <c r="BQ46" s="3">
        <v>6</v>
      </c>
      <c r="BR46" s="3">
        <v>6</v>
      </c>
      <c r="BS46" s="3">
        <v>7</v>
      </c>
      <c r="BT46" s="3">
        <v>7</v>
      </c>
      <c r="BU46" s="3">
        <v>8</v>
      </c>
      <c r="BV46" s="3">
        <v>8</v>
      </c>
      <c r="BW46" s="3">
        <v>9</v>
      </c>
      <c r="BX46" s="3">
        <v>9</v>
      </c>
      <c r="BY46" s="3">
        <v>10</v>
      </c>
      <c r="BZ46" s="3">
        <v>10</v>
      </c>
      <c r="CA46" s="3">
        <v>10</v>
      </c>
      <c r="CB46" s="3">
        <v>10</v>
      </c>
      <c r="CC46" s="3">
        <v>10</v>
      </c>
    </row>
    <row r="47" spans="4:81" ht="22.15" customHeight="1" x14ac:dyDescent="0.25">
      <c r="D47" s="1"/>
      <c r="H47" s="87" t="s">
        <v>14</v>
      </c>
      <c r="I47" s="51" t="s">
        <v>51</v>
      </c>
      <c r="J47" s="51" t="s">
        <v>247</v>
      </c>
      <c r="K47" s="47" t="s">
        <v>47</v>
      </c>
      <c r="L47" s="3"/>
      <c r="O47" s="3"/>
      <c r="P47"/>
      <c r="Y47" s="52" t="s">
        <v>69</v>
      </c>
      <c r="Z47" s="3">
        <v>1</v>
      </c>
      <c r="AA47" s="3">
        <v>1</v>
      </c>
      <c r="AB47" s="3">
        <v>1</v>
      </c>
      <c r="AC47" s="3">
        <v>1</v>
      </c>
      <c r="AD47" s="3">
        <v>1</v>
      </c>
      <c r="AE47" s="3">
        <v>2</v>
      </c>
      <c r="AF47" s="3">
        <v>2</v>
      </c>
      <c r="AG47" s="3">
        <v>3</v>
      </c>
      <c r="AH47" s="3">
        <v>3</v>
      </c>
      <c r="AI47" s="14">
        <v>4</v>
      </c>
      <c r="AJ47" s="14">
        <v>4</v>
      </c>
      <c r="AK47" s="3">
        <v>5</v>
      </c>
      <c r="AL47" s="3">
        <v>5</v>
      </c>
      <c r="AM47" s="3">
        <v>5</v>
      </c>
      <c r="AN47" s="3">
        <v>6</v>
      </c>
      <c r="AO47" s="3">
        <v>6</v>
      </c>
      <c r="AP47" s="3">
        <v>7</v>
      </c>
      <c r="AQ47" s="3">
        <v>7</v>
      </c>
      <c r="AR47" s="3">
        <v>8</v>
      </c>
      <c r="AS47" s="3">
        <v>8</v>
      </c>
      <c r="AT47" s="3">
        <v>9</v>
      </c>
      <c r="AU47" s="3">
        <v>9</v>
      </c>
      <c r="AV47" s="3">
        <v>10</v>
      </c>
      <c r="AW47" s="3">
        <v>10</v>
      </c>
      <c r="AX47" s="3">
        <v>10</v>
      </c>
      <c r="AY47" s="3">
        <v>10</v>
      </c>
      <c r="AZ47" s="3">
        <v>10</v>
      </c>
      <c r="BB47" s="6" t="s">
        <v>29</v>
      </c>
      <c r="BC47" s="3">
        <v>1</v>
      </c>
      <c r="BD47" s="3">
        <v>1</v>
      </c>
      <c r="BE47" s="3">
        <v>1</v>
      </c>
      <c r="BF47" s="3">
        <v>1</v>
      </c>
      <c r="BG47" s="3">
        <v>2</v>
      </c>
      <c r="BH47" s="3">
        <v>2</v>
      </c>
      <c r="BI47" s="3">
        <v>3</v>
      </c>
      <c r="BJ47" s="3">
        <v>3</v>
      </c>
      <c r="BK47" s="3">
        <v>3</v>
      </c>
      <c r="BL47" s="3">
        <v>4</v>
      </c>
      <c r="BM47" s="3">
        <v>4</v>
      </c>
      <c r="BN47" s="3">
        <v>5</v>
      </c>
      <c r="BO47" s="3">
        <v>5</v>
      </c>
      <c r="BP47" s="3">
        <v>5</v>
      </c>
      <c r="BQ47" s="3">
        <v>6</v>
      </c>
      <c r="BR47" s="3">
        <v>6</v>
      </c>
      <c r="BS47" s="3">
        <v>7</v>
      </c>
      <c r="BT47" s="3">
        <v>7</v>
      </c>
      <c r="BU47" s="3">
        <v>8</v>
      </c>
      <c r="BV47" s="3">
        <v>8</v>
      </c>
      <c r="BW47" s="3">
        <v>9</v>
      </c>
      <c r="BX47" s="3">
        <v>10</v>
      </c>
      <c r="BY47" s="3">
        <v>10</v>
      </c>
      <c r="BZ47" s="3">
        <v>10</v>
      </c>
      <c r="CA47" s="3">
        <v>10</v>
      </c>
      <c r="CB47" s="3">
        <v>10</v>
      </c>
      <c r="CC47" s="3">
        <v>10</v>
      </c>
    </row>
    <row r="48" spans="4:81" ht="15" customHeight="1" x14ac:dyDescent="0.25">
      <c r="D48" s="1"/>
      <c r="H48" s="52" t="s">
        <v>15</v>
      </c>
      <c r="I48" s="81">
        <f>SUMIF(ответы!B:B,TRIM(H48),ответы!C:C)</f>
        <v>9</v>
      </c>
      <c r="J48" s="20">
        <v>14</v>
      </c>
      <c r="K48" s="12">
        <f>(I48/J48)*10</f>
        <v>6.4285714285714288</v>
      </c>
      <c r="L48" s="3"/>
      <c r="O48" s="3"/>
      <c r="P48"/>
      <c r="Y48" s="9" t="s">
        <v>75</v>
      </c>
      <c r="Z48" s="3">
        <v>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2</v>
      </c>
      <c r="AH48" s="3">
        <v>3</v>
      </c>
      <c r="AI48" s="3">
        <v>3</v>
      </c>
      <c r="AJ48" s="3">
        <v>4</v>
      </c>
      <c r="AK48" s="3">
        <v>4</v>
      </c>
      <c r="AL48" s="3">
        <v>5</v>
      </c>
      <c r="AM48" s="14">
        <v>5</v>
      </c>
      <c r="AN48" s="3">
        <v>6</v>
      </c>
      <c r="AO48" s="3">
        <v>6</v>
      </c>
      <c r="AP48" s="3">
        <v>7</v>
      </c>
      <c r="AQ48" s="3">
        <v>8</v>
      </c>
      <c r="AR48" s="3">
        <v>9</v>
      </c>
      <c r="AS48" s="3">
        <v>9</v>
      </c>
      <c r="AT48" s="3">
        <v>10</v>
      </c>
      <c r="AU48" s="3">
        <v>10</v>
      </c>
      <c r="AV48" s="3">
        <v>10</v>
      </c>
      <c r="AW48" s="3">
        <v>10</v>
      </c>
      <c r="AX48" s="3">
        <v>10</v>
      </c>
      <c r="AY48" s="3">
        <v>10</v>
      </c>
      <c r="AZ48" s="3">
        <v>10</v>
      </c>
      <c r="BB48" s="6" t="s">
        <v>25</v>
      </c>
      <c r="BC48" s="3">
        <v>1</v>
      </c>
      <c r="BD48" s="3">
        <v>1</v>
      </c>
      <c r="BE48" s="3">
        <v>1</v>
      </c>
      <c r="BF48" s="3">
        <v>1</v>
      </c>
      <c r="BG48" s="3">
        <v>1</v>
      </c>
      <c r="BH48" s="3">
        <v>2</v>
      </c>
      <c r="BI48" s="3">
        <v>2</v>
      </c>
      <c r="BJ48" s="3">
        <v>2</v>
      </c>
      <c r="BK48" s="3">
        <v>3</v>
      </c>
      <c r="BL48" s="3">
        <v>3</v>
      </c>
      <c r="BM48" s="3">
        <v>3</v>
      </c>
      <c r="BN48" s="3">
        <v>4</v>
      </c>
      <c r="BO48" s="3">
        <v>4</v>
      </c>
      <c r="BP48" s="3">
        <v>5</v>
      </c>
      <c r="BQ48" s="3">
        <v>6</v>
      </c>
      <c r="BR48" s="3">
        <v>6</v>
      </c>
      <c r="BS48" s="3">
        <v>7</v>
      </c>
      <c r="BT48" s="3">
        <v>7</v>
      </c>
      <c r="BU48" s="3">
        <v>8</v>
      </c>
      <c r="BV48" s="3">
        <v>9</v>
      </c>
      <c r="BW48" s="3">
        <v>10</v>
      </c>
      <c r="BX48" s="3">
        <v>10</v>
      </c>
      <c r="BY48" s="3">
        <v>10</v>
      </c>
      <c r="BZ48" s="3">
        <v>10</v>
      </c>
      <c r="CA48" s="3">
        <v>10</v>
      </c>
      <c r="CB48" s="3">
        <v>10</v>
      </c>
      <c r="CC48" s="3">
        <v>10</v>
      </c>
    </row>
    <row r="49" spans="4:81" ht="22.15" customHeight="1" x14ac:dyDescent="0.25">
      <c r="D49" s="1"/>
      <c r="H49" s="52" t="s">
        <v>477</v>
      </c>
      <c r="I49" s="81">
        <f>SUMIF(ответы!B:B,TRIM(H49),ответы!C:C)</f>
        <v>9</v>
      </c>
      <c r="J49" s="20">
        <v>14</v>
      </c>
      <c r="K49" s="12">
        <f t="shared" ref="K49:K57" si="3">(I49/J49)*10</f>
        <v>6.4285714285714288</v>
      </c>
      <c r="L49" s="3"/>
      <c r="O49" s="3"/>
      <c r="P49"/>
      <c r="Y49" s="52" t="s">
        <v>79</v>
      </c>
      <c r="Z49" s="3">
        <v>1</v>
      </c>
      <c r="AA49" s="3">
        <v>1</v>
      </c>
      <c r="AB49" s="3">
        <v>1</v>
      </c>
      <c r="AC49" s="3">
        <v>2</v>
      </c>
      <c r="AD49" s="3">
        <v>2</v>
      </c>
      <c r="AE49" s="3">
        <v>3</v>
      </c>
      <c r="AF49" s="3">
        <v>3</v>
      </c>
      <c r="AG49" s="3">
        <v>3</v>
      </c>
      <c r="AH49" s="3">
        <v>4</v>
      </c>
      <c r="AI49" s="3">
        <v>4</v>
      </c>
      <c r="AJ49" s="3">
        <v>5</v>
      </c>
      <c r="AK49" s="3">
        <v>5</v>
      </c>
      <c r="AL49" s="3">
        <v>5</v>
      </c>
      <c r="AM49" s="3">
        <v>6</v>
      </c>
      <c r="AN49" s="3">
        <v>6</v>
      </c>
      <c r="AO49" s="14">
        <v>7</v>
      </c>
      <c r="AP49" s="3">
        <v>7</v>
      </c>
      <c r="AQ49" s="3">
        <v>7</v>
      </c>
      <c r="AR49" s="3">
        <v>8</v>
      </c>
      <c r="AS49" s="3">
        <v>8</v>
      </c>
      <c r="AT49" s="3">
        <v>8</v>
      </c>
      <c r="AU49" s="3">
        <v>9</v>
      </c>
      <c r="AV49" s="3">
        <v>9</v>
      </c>
      <c r="AW49" s="3">
        <v>10</v>
      </c>
      <c r="AX49" s="3">
        <v>10</v>
      </c>
      <c r="AY49" s="3">
        <v>10</v>
      </c>
      <c r="AZ49" s="3">
        <v>10</v>
      </c>
      <c r="BB49" s="6" t="s">
        <v>26</v>
      </c>
      <c r="BC49" s="3">
        <v>1</v>
      </c>
      <c r="BD49" s="3">
        <v>1</v>
      </c>
      <c r="BE49" s="3">
        <v>1</v>
      </c>
      <c r="BF49" s="3">
        <v>1</v>
      </c>
      <c r="BG49" s="3">
        <v>2</v>
      </c>
      <c r="BH49" s="3">
        <v>2</v>
      </c>
      <c r="BI49" s="3">
        <v>3</v>
      </c>
      <c r="BJ49" s="3">
        <v>3</v>
      </c>
      <c r="BK49" s="3">
        <v>3</v>
      </c>
      <c r="BL49" s="3">
        <v>4</v>
      </c>
      <c r="BM49" s="3">
        <v>4</v>
      </c>
      <c r="BN49" s="3">
        <v>4</v>
      </c>
      <c r="BO49" s="3">
        <v>5</v>
      </c>
      <c r="BP49" s="3">
        <v>5</v>
      </c>
      <c r="BQ49" s="3">
        <v>5</v>
      </c>
      <c r="BR49" s="3">
        <v>6</v>
      </c>
      <c r="BS49" s="3">
        <v>6</v>
      </c>
      <c r="BT49" s="3">
        <v>7</v>
      </c>
      <c r="BU49" s="3">
        <v>7</v>
      </c>
      <c r="BV49" s="3">
        <v>7</v>
      </c>
      <c r="BW49" s="3">
        <v>8</v>
      </c>
      <c r="BX49" s="3">
        <v>8</v>
      </c>
      <c r="BY49" s="3">
        <v>9</v>
      </c>
      <c r="BZ49" s="3">
        <v>9</v>
      </c>
      <c r="CA49" s="3">
        <v>10</v>
      </c>
      <c r="CB49" s="3">
        <v>10</v>
      </c>
      <c r="CC49" s="3">
        <v>10</v>
      </c>
    </row>
    <row r="50" spans="4:81" ht="22.15" customHeight="1" x14ac:dyDescent="0.25">
      <c r="D50" s="1"/>
      <c r="H50" s="52" t="s">
        <v>16</v>
      </c>
      <c r="I50" s="81">
        <f>SUMIF(ответы!B:B,TRIM(H50),ответы!C:C)</f>
        <v>7</v>
      </c>
      <c r="J50" s="20">
        <v>14</v>
      </c>
      <c r="K50" s="12">
        <f t="shared" si="3"/>
        <v>5</v>
      </c>
      <c r="L50" s="3"/>
      <c r="O50" s="3"/>
      <c r="P50"/>
      <c r="Y50" s="52" t="s">
        <v>71</v>
      </c>
      <c r="Z50" s="3">
        <v>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2</v>
      </c>
      <c r="AG50" s="3">
        <v>2</v>
      </c>
      <c r="AH50" s="3">
        <v>3</v>
      </c>
      <c r="AI50" s="3">
        <v>4</v>
      </c>
      <c r="AJ50" s="3">
        <v>4</v>
      </c>
      <c r="AK50" s="3">
        <v>5</v>
      </c>
      <c r="AL50" s="3">
        <v>6</v>
      </c>
      <c r="AM50" s="3">
        <v>6</v>
      </c>
      <c r="AN50" s="3">
        <v>7</v>
      </c>
      <c r="AO50" s="3">
        <v>8</v>
      </c>
      <c r="AP50" s="3">
        <v>8</v>
      </c>
      <c r="AQ50" s="3">
        <v>9</v>
      </c>
      <c r="AR50" s="3">
        <v>10</v>
      </c>
      <c r="AS50" s="3">
        <v>10</v>
      </c>
      <c r="AT50" s="3">
        <v>10</v>
      </c>
      <c r="AU50" s="3">
        <v>10</v>
      </c>
      <c r="AV50" s="3">
        <v>10</v>
      </c>
      <c r="AW50" s="3">
        <v>10</v>
      </c>
      <c r="AX50" s="3">
        <v>10</v>
      </c>
      <c r="AY50" s="3">
        <v>10</v>
      </c>
      <c r="AZ50" s="3">
        <v>10</v>
      </c>
      <c r="BB50" s="6" t="s">
        <v>30</v>
      </c>
      <c r="BC50" s="3">
        <v>1</v>
      </c>
      <c r="BD50" s="3">
        <v>1</v>
      </c>
      <c r="BE50" s="3">
        <v>1</v>
      </c>
      <c r="BF50" s="3">
        <v>2</v>
      </c>
      <c r="BG50" s="3">
        <v>3</v>
      </c>
      <c r="BH50" s="3">
        <v>4</v>
      </c>
      <c r="BI50" s="3">
        <v>4</v>
      </c>
      <c r="BJ50" s="3">
        <v>5</v>
      </c>
      <c r="BK50" s="3">
        <v>5</v>
      </c>
      <c r="BL50" s="3">
        <v>6</v>
      </c>
      <c r="BM50" s="3">
        <v>6</v>
      </c>
      <c r="BN50" s="3">
        <v>7</v>
      </c>
      <c r="BO50" s="3">
        <v>7</v>
      </c>
      <c r="BP50" s="3">
        <v>8</v>
      </c>
      <c r="BQ50" s="3">
        <v>8</v>
      </c>
      <c r="BR50" s="3">
        <v>9</v>
      </c>
      <c r="BS50" s="3">
        <v>10</v>
      </c>
      <c r="BT50" s="3">
        <v>10</v>
      </c>
      <c r="BU50" s="3">
        <v>10</v>
      </c>
      <c r="BV50" s="3">
        <v>10</v>
      </c>
      <c r="BW50" s="3">
        <v>10</v>
      </c>
      <c r="BX50" s="3">
        <v>10</v>
      </c>
      <c r="BY50" s="3">
        <v>10</v>
      </c>
      <c r="BZ50" s="3">
        <v>10</v>
      </c>
      <c r="CA50" s="3">
        <v>10</v>
      </c>
      <c r="CB50" s="3">
        <v>10</v>
      </c>
      <c r="CC50" s="3">
        <v>10</v>
      </c>
    </row>
    <row r="51" spans="4:81" ht="22.15" customHeight="1" x14ac:dyDescent="0.25">
      <c r="D51" s="1"/>
      <c r="H51" s="52" t="s">
        <v>17</v>
      </c>
      <c r="I51" s="81">
        <f>SUMIF(ответы!B:B,TRIM(H51),ответы!C:C)</f>
        <v>10</v>
      </c>
      <c r="J51" s="20">
        <v>16</v>
      </c>
      <c r="K51" s="12">
        <f t="shared" si="3"/>
        <v>6.25</v>
      </c>
      <c r="L51" s="3"/>
      <c r="O51" s="3"/>
      <c r="P51"/>
      <c r="Y51" s="52" t="s">
        <v>78</v>
      </c>
      <c r="Z51" s="3">
        <v>1</v>
      </c>
      <c r="AA51" s="3">
        <v>1</v>
      </c>
      <c r="AB51" s="3">
        <v>2</v>
      </c>
      <c r="AC51" s="3">
        <v>3</v>
      </c>
      <c r="AD51" s="3">
        <v>3</v>
      </c>
      <c r="AE51" s="3">
        <v>4</v>
      </c>
      <c r="AF51" s="3">
        <v>5</v>
      </c>
      <c r="AG51" s="3">
        <v>5</v>
      </c>
      <c r="AH51" s="3">
        <v>6</v>
      </c>
      <c r="AI51" s="3">
        <v>7</v>
      </c>
      <c r="AJ51" s="3">
        <v>7</v>
      </c>
      <c r="AK51" s="3">
        <v>8</v>
      </c>
      <c r="AL51" s="3">
        <v>9</v>
      </c>
      <c r="AM51" s="3">
        <v>9</v>
      </c>
      <c r="AN51" s="14">
        <v>10</v>
      </c>
      <c r="AO51" s="3">
        <v>10</v>
      </c>
      <c r="AP51" s="3">
        <v>10</v>
      </c>
      <c r="AQ51" s="3">
        <v>10</v>
      </c>
      <c r="AR51" s="3">
        <v>10</v>
      </c>
      <c r="AS51" s="3">
        <v>10</v>
      </c>
      <c r="AT51" s="3">
        <v>10</v>
      </c>
      <c r="AU51" s="3">
        <v>10</v>
      </c>
      <c r="AV51" s="3">
        <v>10</v>
      </c>
      <c r="AW51" s="3">
        <v>10</v>
      </c>
      <c r="AX51" s="3">
        <v>10</v>
      </c>
      <c r="AY51" s="3">
        <v>10</v>
      </c>
      <c r="AZ51" s="3">
        <v>10</v>
      </c>
      <c r="BB51" s="6" t="s">
        <v>31</v>
      </c>
      <c r="BC51" s="3">
        <v>1</v>
      </c>
      <c r="BD51" s="3">
        <v>1</v>
      </c>
      <c r="BE51" s="3">
        <v>1</v>
      </c>
      <c r="BF51" s="3">
        <v>2</v>
      </c>
      <c r="BG51" s="3">
        <v>3</v>
      </c>
      <c r="BH51" s="3">
        <v>3</v>
      </c>
      <c r="BI51" s="3">
        <v>4</v>
      </c>
      <c r="BJ51" s="3">
        <v>4</v>
      </c>
      <c r="BK51" s="3">
        <v>5</v>
      </c>
      <c r="BL51" s="3">
        <v>6</v>
      </c>
      <c r="BM51" s="3">
        <v>6</v>
      </c>
      <c r="BN51" s="3">
        <v>7</v>
      </c>
      <c r="BO51" s="3">
        <v>7</v>
      </c>
      <c r="BP51" s="3">
        <v>8</v>
      </c>
      <c r="BQ51" s="3">
        <v>9</v>
      </c>
      <c r="BR51" s="3">
        <v>9</v>
      </c>
      <c r="BS51" s="3">
        <v>10</v>
      </c>
      <c r="BT51" s="3">
        <v>10</v>
      </c>
      <c r="BU51" s="3">
        <v>10</v>
      </c>
      <c r="BV51" s="3">
        <v>10</v>
      </c>
      <c r="BW51" s="3">
        <v>10</v>
      </c>
      <c r="BX51" s="3">
        <v>10</v>
      </c>
      <c r="BY51" s="3">
        <v>10</v>
      </c>
      <c r="BZ51" s="3">
        <v>10</v>
      </c>
      <c r="CA51" s="3">
        <v>10</v>
      </c>
      <c r="CB51" s="3">
        <v>10</v>
      </c>
      <c r="CC51" s="3">
        <v>10</v>
      </c>
    </row>
    <row r="52" spans="4:81" ht="22.15" customHeight="1" x14ac:dyDescent="0.25">
      <c r="D52" s="1"/>
      <c r="H52" s="52" t="s">
        <v>18</v>
      </c>
      <c r="I52" s="81">
        <f>SUMIF(ответы!B:B,TRIM(H52),ответы!C:C)</f>
        <v>7</v>
      </c>
      <c r="J52" s="20">
        <v>14</v>
      </c>
      <c r="K52" s="12">
        <f t="shared" si="3"/>
        <v>5</v>
      </c>
      <c r="L52" s="3"/>
      <c r="O52" s="3"/>
      <c r="P52"/>
      <c r="Y52" s="52" t="s">
        <v>73</v>
      </c>
      <c r="Z52" s="3">
        <v>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2</v>
      </c>
      <c r="AH52" s="3">
        <v>3</v>
      </c>
      <c r="AI52" s="3">
        <v>3</v>
      </c>
      <c r="AJ52" s="3">
        <v>4</v>
      </c>
      <c r="AK52" s="3">
        <v>4</v>
      </c>
      <c r="AL52" s="3">
        <v>5</v>
      </c>
      <c r="AM52" s="3">
        <v>6</v>
      </c>
      <c r="AN52" s="3">
        <v>6</v>
      </c>
      <c r="AO52" s="3">
        <v>7</v>
      </c>
      <c r="AP52" s="3">
        <v>7</v>
      </c>
      <c r="AQ52" s="3">
        <v>8</v>
      </c>
      <c r="AR52" s="3">
        <v>9</v>
      </c>
      <c r="AS52" s="3">
        <v>9</v>
      </c>
      <c r="AT52" s="3">
        <v>10</v>
      </c>
      <c r="AU52" s="3">
        <v>10</v>
      </c>
      <c r="AV52" s="3">
        <v>10</v>
      </c>
      <c r="AW52" s="3">
        <v>10</v>
      </c>
      <c r="AX52" s="3">
        <v>10</v>
      </c>
      <c r="AY52" s="3">
        <v>10</v>
      </c>
      <c r="AZ52" s="3">
        <v>10</v>
      </c>
      <c r="BB52" s="6" t="s">
        <v>32</v>
      </c>
      <c r="BC52" s="3">
        <v>1</v>
      </c>
      <c r="BD52" s="3">
        <v>1</v>
      </c>
      <c r="BE52" s="3">
        <v>1</v>
      </c>
      <c r="BF52" s="3">
        <v>1</v>
      </c>
      <c r="BG52" s="3">
        <v>1</v>
      </c>
      <c r="BH52" s="3">
        <v>1</v>
      </c>
      <c r="BI52" s="3">
        <v>2</v>
      </c>
      <c r="BJ52" s="3">
        <v>2</v>
      </c>
      <c r="BK52" s="3">
        <v>3</v>
      </c>
      <c r="BL52" s="3">
        <v>4</v>
      </c>
      <c r="BM52" s="3">
        <v>4</v>
      </c>
      <c r="BN52" s="3">
        <v>5</v>
      </c>
      <c r="BO52" s="3">
        <v>6</v>
      </c>
      <c r="BP52" s="3">
        <v>6</v>
      </c>
      <c r="BQ52" s="3">
        <v>7</v>
      </c>
      <c r="BR52" s="3">
        <v>7</v>
      </c>
      <c r="BS52" s="3">
        <v>8</v>
      </c>
      <c r="BT52" s="3">
        <v>8</v>
      </c>
      <c r="BU52" s="3">
        <v>9</v>
      </c>
      <c r="BV52" s="3">
        <v>9</v>
      </c>
      <c r="BW52" s="3">
        <v>10</v>
      </c>
      <c r="BX52" s="3">
        <v>10</v>
      </c>
      <c r="BY52" s="3">
        <v>10</v>
      </c>
      <c r="BZ52" s="3">
        <v>10</v>
      </c>
      <c r="CA52" s="3">
        <v>10</v>
      </c>
      <c r="CB52" s="3">
        <v>10</v>
      </c>
      <c r="CC52" s="3">
        <v>10</v>
      </c>
    </row>
    <row r="53" spans="4:81" ht="22.15" customHeight="1" x14ac:dyDescent="0.25">
      <c r="D53" s="1"/>
      <c r="H53" s="52" t="s">
        <v>19</v>
      </c>
      <c r="I53" s="81">
        <f>SUMIF(ответы!B:B,TRIM(H53),ответы!C:C)</f>
        <v>12</v>
      </c>
      <c r="J53" s="20">
        <v>16</v>
      </c>
      <c r="K53" s="12">
        <f t="shared" si="3"/>
        <v>7.5</v>
      </c>
      <c r="L53" s="3"/>
      <c r="O53" s="3"/>
      <c r="P53"/>
      <c r="Y53" s="52" t="s">
        <v>70</v>
      </c>
      <c r="Z53" s="3">
        <v>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2</v>
      </c>
      <c r="AG53" s="3">
        <v>3</v>
      </c>
      <c r="AH53" s="3">
        <v>4</v>
      </c>
      <c r="AI53" s="3">
        <v>4</v>
      </c>
      <c r="AJ53" s="3">
        <v>5</v>
      </c>
      <c r="AK53" s="3">
        <v>6</v>
      </c>
      <c r="AL53" s="3">
        <v>7</v>
      </c>
      <c r="AM53" s="3">
        <v>7</v>
      </c>
      <c r="AN53" s="3">
        <v>8</v>
      </c>
      <c r="AO53" s="3">
        <v>9</v>
      </c>
      <c r="AP53" s="3">
        <v>10</v>
      </c>
      <c r="AQ53" s="3">
        <v>10</v>
      </c>
      <c r="AR53" s="3">
        <v>10</v>
      </c>
      <c r="AS53" s="3">
        <v>10</v>
      </c>
      <c r="AT53" s="3">
        <v>10</v>
      </c>
      <c r="AU53" s="3">
        <v>10</v>
      </c>
      <c r="AV53" s="3">
        <v>10</v>
      </c>
      <c r="AW53" s="3">
        <v>10</v>
      </c>
      <c r="AX53" s="3">
        <v>10</v>
      </c>
      <c r="AY53" s="3">
        <v>10</v>
      </c>
      <c r="AZ53" s="3">
        <v>10</v>
      </c>
      <c r="BB53" s="6" t="s">
        <v>33</v>
      </c>
      <c r="BC53" s="3">
        <v>1</v>
      </c>
      <c r="BD53" s="3">
        <v>1</v>
      </c>
      <c r="BE53" s="3">
        <v>1</v>
      </c>
      <c r="BF53" s="3">
        <v>1</v>
      </c>
      <c r="BG53" s="3">
        <v>1</v>
      </c>
      <c r="BH53" s="3">
        <v>1</v>
      </c>
      <c r="BI53" s="3">
        <v>1</v>
      </c>
      <c r="BJ53" s="3">
        <v>2</v>
      </c>
      <c r="BK53" s="3">
        <v>3</v>
      </c>
      <c r="BL53" s="3">
        <v>3</v>
      </c>
      <c r="BM53" s="3">
        <v>4</v>
      </c>
      <c r="BN53" s="3">
        <v>5</v>
      </c>
      <c r="BO53" s="3">
        <v>6</v>
      </c>
      <c r="BP53" s="3">
        <v>6</v>
      </c>
      <c r="BQ53" s="3">
        <v>7</v>
      </c>
      <c r="BR53" s="3">
        <v>8</v>
      </c>
      <c r="BS53" s="3">
        <v>9</v>
      </c>
      <c r="BT53" s="3">
        <v>9</v>
      </c>
      <c r="BU53" s="3">
        <v>10</v>
      </c>
      <c r="BV53" s="3">
        <v>10</v>
      </c>
      <c r="BW53" s="3">
        <v>10</v>
      </c>
      <c r="BX53" s="3">
        <v>10</v>
      </c>
      <c r="BY53" s="3">
        <v>10</v>
      </c>
      <c r="BZ53" s="3">
        <v>10</v>
      </c>
      <c r="CA53" s="3">
        <v>10</v>
      </c>
      <c r="CB53" s="3">
        <v>10</v>
      </c>
      <c r="CC53" s="3">
        <v>10</v>
      </c>
    </row>
    <row r="54" spans="4:81" ht="22.15" customHeight="1" x14ac:dyDescent="0.25">
      <c r="D54" s="1"/>
      <c r="H54" s="52" t="s">
        <v>20</v>
      </c>
      <c r="I54" s="81">
        <f>SUMIF(ответы!B:B,TRIM(H54),ответы!C:C)</f>
        <v>4</v>
      </c>
      <c r="J54" s="20">
        <v>16</v>
      </c>
      <c r="K54" s="12">
        <f t="shared" si="3"/>
        <v>2.5</v>
      </c>
      <c r="L54" s="3"/>
      <c r="O54" s="3"/>
      <c r="P54"/>
      <c r="Y54" s="52" t="s">
        <v>67</v>
      </c>
      <c r="Z54" s="3">
        <v>1</v>
      </c>
      <c r="AA54" s="3">
        <v>1</v>
      </c>
      <c r="AB54" s="3">
        <v>1</v>
      </c>
      <c r="AC54" s="3">
        <v>1</v>
      </c>
      <c r="AD54" s="3">
        <v>2</v>
      </c>
      <c r="AE54" s="3">
        <v>3</v>
      </c>
      <c r="AF54" s="3">
        <v>3</v>
      </c>
      <c r="AG54" s="3">
        <v>4</v>
      </c>
      <c r="AH54" s="3">
        <v>4</v>
      </c>
      <c r="AI54" s="3">
        <v>5</v>
      </c>
      <c r="AJ54" s="3">
        <v>5</v>
      </c>
      <c r="AK54" s="3">
        <v>6</v>
      </c>
      <c r="AL54" s="3">
        <v>6</v>
      </c>
      <c r="AM54" s="3">
        <v>7</v>
      </c>
      <c r="AN54" s="3">
        <v>7</v>
      </c>
      <c r="AO54" s="3">
        <v>8</v>
      </c>
      <c r="AP54" s="3">
        <v>8</v>
      </c>
      <c r="AQ54" s="3">
        <v>9</v>
      </c>
      <c r="AR54" s="3">
        <v>9</v>
      </c>
      <c r="AS54" s="3">
        <v>10</v>
      </c>
      <c r="AT54" s="3">
        <v>10</v>
      </c>
      <c r="AU54" s="3">
        <v>10</v>
      </c>
      <c r="AV54" s="3">
        <v>10</v>
      </c>
      <c r="AW54" s="3">
        <v>10</v>
      </c>
      <c r="AX54" s="3">
        <v>10</v>
      </c>
      <c r="AY54" s="3">
        <v>10</v>
      </c>
      <c r="AZ54" s="3">
        <v>10</v>
      </c>
      <c r="BB54" s="6" t="s">
        <v>38</v>
      </c>
      <c r="BC54" s="3">
        <v>1</v>
      </c>
      <c r="BD54" s="3">
        <v>1</v>
      </c>
      <c r="BE54" s="3">
        <v>1</v>
      </c>
      <c r="BF54" s="3">
        <v>2</v>
      </c>
      <c r="BG54" s="3">
        <v>3</v>
      </c>
      <c r="BH54" s="3">
        <v>3</v>
      </c>
      <c r="BI54" s="3">
        <v>4</v>
      </c>
      <c r="BJ54" s="3">
        <v>4</v>
      </c>
      <c r="BK54" s="3">
        <v>5</v>
      </c>
      <c r="BL54" s="3">
        <v>5</v>
      </c>
      <c r="BM54" s="3">
        <v>6</v>
      </c>
      <c r="BN54" s="3">
        <v>6</v>
      </c>
      <c r="BO54" s="3">
        <v>7</v>
      </c>
      <c r="BP54" s="3">
        <v>8</v>
      </c>
      <c r="BQ54" s="3">
        <v>8</v>
      </c>
      <c r="BR54" s="3">
        <v>8</v>
      </c>
      <c r="BS54" s="3">
        <v>9</v>
      </c>
      <c r="BT54" s="3">
        <v>9</v>
      </c>
      <c r="BU54" s="3">
        <v>10</v>
      </c>
      <c r="BV54" s="3">
        <v>10</v>
      </c>
      <c r="BW54" s="3">
        <v>10</v>
      </c>
      <c r="BX54" s="3">
        <v>10</v>
      </c>
      <c r="BY54" s="3">
        <v>10</v>
      </c>
      <c r="BZ54" s="3">
        <v>10</v>
      </c>
      <c r="CA54" s="3">
        <v>10</v>
      </c>
      <c r="CB54" s="3">
        <v>10</v>
      </c>
      <c r="CC54" s="3">
        <v>10</v>
      </c>
    </row>
    <row r="55" spans="4:81" ht="22.15" customHeight="1" x14ac:dyDescent="0.25">
      <c r="D55" s="1"/>
      <c r="H55" s="52" t="s">
        <v>21</v>
      </c>
      <c r="I55" s="81">
        <f>SUMIF(ответы!B:B,TRIM(H55),ответы!C:C)</f>
        <v>11</v>
      </c>
      <c r="J55" s="20">
        <v>16</v>
      </c>
      <c r="K55" s="12">
        <f t="shared" si="3"/>
        <v>6.875</v>
      </c>
      <c r="L55" s="3"/>
      <c r="O55" s="3"/>
      <c r="P55"/>
      <c r="Y55" s="52" t="s">
        <v>77</v>
      </c>
      <c r="Z55" s="3">
        <v>1</v>
      </c>
      <c r="AA55" s="3">
        <v>1</v>
      </c>
      <c r="AB55" s="3">
        <v>1</v>
      </c>
      <c r="AC55" s="3">
        <v>1</v>
      </c>
      <c r="AD55" s="3">
        <v>2</v>
      </c>
      <c r="AE55" s="3">
        <v>3</v>
      </c>
      <c r="AF55" s="3">
        <v>4</v>
      </c>
      <c r="AG55" s="3">
        <v>4</v>
      </c>
      <c r="AH55" s="3">
        <v>5</v>
      </c>
      <c r="AI55" s="3">
        <v>6</v>
      </c>
      <c r="AJ55" s="3">
        <v>7</v>
      </c>
      <c r="AK55" s="3">
        <v>7</v>
      </c>
      <c r="AL55" s="3">
        <v>8</v>
      </c>
      <c r="AM55" s="3">
        <v>8</v>
      </c>
      <c r="AN55" s="3">
        <v>9</v>
      </c>
      <c r="AO55" s="3">
        <v>10</v>
      </c>
      <c r="AP55" s="3">
        <v>10</v>
      </c>
      <c r="AQ55" s="3">
        <v>10</v>
      </c>
      <c r="AR55" s="3">
        <v>10</v>
      </c>
      <c r="AS55" s="3">
        <v>10</v>
      </c>
      <c r="AT55" s="3">
        <v>10</v>
      </c>
      <c r="AU55" s="3">
        <v>10</v>
      </c>
      <c r="AV55" s="3">
        <v>10</v>
      </c>
      <c r="AW55" s="3">
        <v>10</v>
      </c>
      <c r="AX55" s="3">
        <v>10</v>
      </c>
      <c r="AY55" s="3">
        <v>10</v>
      </c>
      <c r="AZ55" s="3">
        <v>10</v>
      </c>
      <c r="BB55" s="6" t="s">
        <v>34</v>
      </c>
      <c r="BC55" s="3">
        <v>1</v>
      </c>
      <c r="BD55" s="3">
        <v>1</v>
      </c>
      <c r="BE55" s="3">
        <v>1</v>
      </c>
      <c r="BF55" s="3">
        <v>1</v>
      </c>
      <c r="BG55" s="3">
        <v>1</v>
      </c>
      <c r="BH55" s="3">
        <v>2</v>
      </c>
      <c r="BI55" s="3">
        <v>2</v>
      </c>
      <c r="BJ55" s="3">
        <v>3</v>
      </c>
      <c r="BK55" s="3">
        <v>4</v>
      </c>
      <c r="BL55" s="3">
        <v>5</v>
      </c>
      <c r="BM55" s="3">
        <v>5</v>
      </c>
      <c r="BN55" s="3">
        <v>6</v>
      </c>
      <c r="BO55" s="3">
        <v>7</v>
      </c>
      <c r="BP55" s="3">
        <v>7</v>
      </c>
      <c r="BQ55" s="3">
        <v>8</v>
      </c>
      <c r="BR55" s="3">
        <v>9</v>
      </c>
      <c r="BS55" s="3">
        <v>9</v>
      </c>
      <c r="BT55" s="3">
        <v>10</v>
      </c>
      <c r="BU55" s="3">
        <v>10</v>
      </c>
      <c r="BV55" s="3">
        <v>10</v>
      </c>
      <c r="BW55" s="3">
        <v>10</v>
      </c>
      <c r="BX55" s="3">
        <v>10</v>
      </c>
      <c r="BY55" s="3">
        <v>10</v>
      </c>
      <c r="BZ55" s="3">
        <v>10</v>
      </c>
      <c r="CA55" s="3">
        <v>10</v>
      </c>
      <c r="CB55" s="3">
        <v>10</v>
      </c>
      <c r="CC55" s="3">
        <v>10</v>
      </c>
    </row>
    <row r="56" spans="4:81" ht="22.15" customHeight="1" x14ac:dyDescent="0.25">
      <c r="D56" s="1"/>
      <c r="H56" s="52" t="s">
        <v>22</v>
      </c>
      <c r="I56" s="81">
        <f>SUMIF(ответы!B:B,TRIM(H56),ответы!C:C)</f>
        <v>8</v>
      </c>
      <c r="J56" s="20">
        <v>14</v>
      </c>
      <c r="K56" s="12">
        <f t="shared" si="3"/>
        <v>5.7142857142857135</v>
      </c>
      <c r="L56" s="3"/>
      <c r="O56" s="3"/>
      <c r="P56"/>
      <c r="Y56" s="52" t="s">
        <v>74</v>
      </c>
      <c r="Z56" s="3">
        <v>1</v>
      </c>
      <c r="AA56" s="3">
        <v>1</v>
      </c>
      <c r="AB56" s="3">
        <v>1</v>
      </c>
      <c r="AC56" s="3">
        <v>1</v>
      </c>
      <c r="AD56" s="3">
        <v>2</v>
      </c>
      <c r="AE56" s="3">
        <v>3</v>
      </c>
      <c r="AF56" s="3">
        <v>3</v>
      </c>
      <c r="AG56" s="3">
        <v>4</v>
      </c>
      <c r="AH56" s="3">
        <v>4</v>
      </c>
      <c r="AI56" s="3">
        <v>5</v>
      </c>
      <c r="AJ56" s="3">
        <v>6</v>
      </c>
      <c r="AK56" s="3">
        <v>6</v>
      </c>
      <c r="AL56" s="3">
        <v>7</v>
      </c>
      <c r="AM56" s="3">
        <v>7</v>
      </c>
      <c r="AN56" s="3">
        <v>8</v>
      </c>
      <c r="AO56" s="3">
        <v>8</v>
      </c>
      <c r="AP56" s="3">
        <v>9</v>
      </c>
      <c r="AQ56" s="3">
        <v>9</v>
      </c>
      <c r="AR56" s="3">
        <v>10</v>
      </c>
      <c r="AS56" s="3">
        <v>10</v>
      </c>
      <c r="AT56" s="3">
        <v>10</v>
      </c>
      <c r="AU56" s="3">
        <v>10</v>
      </c>
      <c r="AV56" s="3">
        <v>10</v>
      </c>
      <c r="AW56" s="3">
        <v>10</v>
      </c>
      <c r="AX56" s="3">
        <v>10</v>
      </c>
      <c r="AY56" s="3">
        <v>10</v>
      </c>
      <c r="AZ56" s="3">
        <v>10</v>
      </c>
      <c r="BB56" s="6" t="s">
        <v>39</v>
      </c>
      <c r="BC56" s="3">
        <v>1</v>
      </c>
      <c r="BD56" s="3">
        <v>1</v>
      </c>
      <c r="BE56" s="3">
        <v>1</v>
      </c>
      <c r="BF56" s="3">
        <v>1</v>
      </c>
      <c r="BG56" s="3">
        <v>2</v>
      </c>
      <c r="BH56" s="3">
        <v>3</v>
      </c>
      <c r="BI56" s="3">
        <v>3</v>
      </c>
      <c r="BJ56" s="3">
        <v>4</v>
      </c>
      <c r="BK56" s="3">
        <v>4</v>
      </c>
      <c r="BL56" s="3">
        <v>5</v>
      </c>
      <c r="BM56" s="3">
        <v>5</v>
      </c>
      <c r="BN56" s="3">
        <v>6</v>
      </c>
      <c r="BO56" s="3">
        <v>7</v>
      </c>
      <c r="BP56" s="3">
        <v>7</v>
      </c>
      <c r="BQ56" s="3">
        <v>8</v>
      </c>
      <c r="BR56" s="3">
        <v>8</v>
      </c>
      <c r="BS56" s="3">
        <v>9</v>
      </c>
      <c r="BT56" s="3">
        <v>9</v>
      </c>
      <c r="BU56" s="3">
        <v>10</v>
      </c>
      <c r="BV56" s="3">
        <v>10</v>
      </c>
      <c r="BW56" s="3">
        <v>10</v>
      </c>
      <c r="BX56" s="3">
        <v>10</v>
      </c>
      <c r="BY56" s="3">
        <v>10</v>
      </c>
      <c r="BZ56" s="3">
        <v>10</v>
      </c>
      <c r="CA56" s="3">
        <v>10</v>
      </c>
      <c r="CB56" s="3">
        <v>10</v>
      </c>
      <c r="CC56" s="3">
        <v>10</v>
      </c>
    </row>
    <row r="57" spans="4:81" ht="22.15" customHeight="1" x14ac:dyDescent="0.25">
      <c r="H57" s="52" t="s">
        <v>23</v>
      </c>
      <c r="I57" s="81">
        <f>SUMIF(ответы!B:B,TRIM(H57),ответы!C:C)</f>
        <v>3</v>
      </c>
      <c r="J57" s="20">
        <v>14</v>
      </c>
      <c r="K57" s="12">
        <f t="shared" si="3"/>
        <v>2.1428571428571428</v>
      </c>
      <c r="L57" s="3"/>
      <c r="O57" s="3"/>
      <c r="P57"/>
      <c r="Y57" s="52" t="s">
        <v>76</v>
      </c>
      <c r="Z57" s="3">
        <v>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2</v>
      </c>
      <c r="AG57" s="3">
        <v>2</v>
      </c>
      <c r="AH57" s="3">
        <v>3</v>
      </c>
      <c r="AI57" s="3">
        <v>4</v>
      </c>
      <c r="AJ57" s="3">
        <v>4</v>
      </c>
      <c r="AK57" s="3">
        <v>5</v>
      </c>
      <c r="AL57" s="3">
        <v>6</v>
      </c>
      <c r="AM57" s="3">
        <v>6</v>
      </c>
      <c r="AN57" s="3">
        <v>7</v>
      </c>
      <c r="AO57" s="3">
        <v>8</v>
      </c>
      <c r="AP57" s="3">
        <v>8</v>
      </c>
      <c r="AQ57" s="3">
        <v>9</v>
      </c>
      <c r="AR57" s="3">
        <v>10</v>
      </c>
      <c r="AS57" s="3">
        <v>10</v>
      </c>
      <c r="AT57" s="3">
        <v>10</v>
      </c>
      <c r="AU57" s="3">
        <v>10</v>
      </c>
      <c r="AV57" s="3">
        <v>10</v>
      </c>
      <c r="AW57" s="3">
        <v>10</v>
      </c>
      <c r="AX57" s="3">
        <v>10</v>
      </c>
      <c r="AY57" s="3">
        <v>10</v>
      </c>
      <c r="AZ57" s="3">
        <v>10</v>
      </c>
      <c r="BB57" s="6" t="s">
        <v>35</v>
      </c>
      <c r="BC57" s="3">
        <v>1</v>
      </c>
      <c r="BD57" s="3">
        <v>1</v>
      </c>
      <c r="BE57" s="3">
        <v>1</v>
      </c>
      <c r="BF57" s="3">
        <v>1</v>
      </c>
      <c r="BG57" s="3">
        <v>1</v>
      </c>
      <c r="BH57" s="3">
        <v>2</v>
      </c>
      <c r="BI57" s="3">
        <v>2</v>
      </c>
      <c r="BJ57" s="3">
        <v>3</v>
      </c>
      <c r="BK57" s="3">
        <v>3</v>
      </c>
      <c r="BL57" s="3">
        <v>4</v>
      </c>
      <c r="BM57" s="3">
        <v>5</v>
      </c>
      <c r="BN57" s="3">
        <v>5</v>
      </c>
      <c r="BO57" s="3">
        <v>6</v>
      </c>
      <c r="BP57" s="3">
        <v>7</v>
      </c>
      <c r="BQ57" s="3">
        <v>7</v>
      </c>
      <c r="BR57" s="3">
        <v>8</v>
      </c>
      <c r="BS57" s="14">
        <v>9</v>
      </c>
      <c r="BT57" s="3">
        <v>9</v>
      </c>
      <c r="BU57" s="3">
        <v>10</v>
      </c>
      <c r="BV57" s="3">
        <v>10</v>
      </c>
      <c r="BW57" s="3">
        <v>10</v>
      </c>
      <c r="BX57" s="3">
        <v>10</v>
      </c>
      <c r="BY57" s="3">
        <v>10</v>
      </c>
      <c r="BZ57" s="3">
        <v>10</v>
      </c>
      <c r="CA57" s="3">
        <v>10</v>
      </c>
      <c r="CB57" s="3">
        <v>10</v>
      </c>
      <c r="CC57" s="3">
        <v>10</v>
      </c>
    </row>
    <row r="58" spans="4:81" ht="22.15" customHeight="1" x14ac:dyDescent="0.25">
      <c r="I58" s="3"/>
      <c r="J58" s="3"/>
      <c r="K58" s="3"/>
      <c r="L58" s="3"/>
      <c r="O58" s="3"/>
      <c r="P58"/>
      <c r="Y58" s="52" t="s">
        <v>68</v>
      </c>
      <c r="Z58" s="3">
        <v>1</v>
      </c>
      <c r="AA58" s="3">
        <v>1</v>
      </c>
      <c r="AB58" s="3">
        <v>1</v>
      </c>
      <c r="AC58" s="3">
        <v>2</v>
      </c>
      <c r="AD58" s="3">
        <v>2</v>
      </c>
      <c r="AE58" s="3">
        <v>3</v>
      </c>
      <c r="AF58" s="3">
        <v>3</v>
      </c>
      <c r="AG58" s="3">
        <v>3</v>
      </c>
      <c r="AH58" s="3">
        <v>4</v>
      </c>
      <c r="AI58" s="3">
        <v>4</v>
      </c>
      <c r="AJ58" s="3">
        <v>4</v>
      </c>
      <c r="AK58" s="3">
        <v>5</v>
      </c>
      <c r="AL58" s="3">
        <v>5</v>
      </c>
      <c r="AM58" s="3">
        <v>6</v>
      </c>
      <c r="AN58" s="3">
        <v>6</v>
      </c>
      <c r="AO58" s="3">
        <v>6</v>
      </c>
      <c r="AP58" s="3">
        <v>7</v>
      </c>
      <c r="AQ58" s="3">
        <v>7</v>
      </c>
      <c r="AR58" s="3">
        <v>8</v>
      </c>
      <c r="AS58" s="3">
        <v>8</v>
      </c>
      <c r="AT58" s="3">
        <v>8</v>
      </c>
      <c r="AU58" s="3">
        <v>9</v>
      </c>
      <c r="AV58" s="3">
        <v>9</v>
      </c>
      <c r="AW58" s="3">
        <v>10</v>
      </c>
      <c r="AX58" s="3">
        <v>10</v>
      </c>
      <c r="AY58" s="3">
        <v>10</v>
      </c>
      <c r="AZ58" s="3">
        <v>10</v>
      </c>
      <c r="BB58" s="6" t="s">
        <v>36</v>
      </c>
      <c r="BC58" s="3">
        <v>1</v>
      </c>
      <c r="BD58" s="3">
        <v>2</v>
      </c>
      <c r="BE58" s="3">
        <v>2</v>
      </c>
      <c r="BF58" s="3">
        <v>3</v>
      </c>
      <c r="BG58" s="3">
        <v>3</v>
      </c>
      <c r="BH58" s="3">
        <v>3</v>
      </c>
      <c r="BI58" s="3">
        <v>4</v>
      </c>
      <c r="BJ58" s="3">
        <v>4</v>
      </c>
      <c r="BK58" s="3">
        <v>5</v>
      </c>
      <c r="BL58" s="3">
        <v>5</v>
      </c>
      <c r="BM58" s="3">
        <v>5</v>
      </c>
      <c r="BN58" s="3">
        <v>6</v>
      </c>
      <c r="BO58" s="3">
        <v>6</v>
      </c>
      <c r="BP58" s="3">
        <v>7</v>
      </c>
      <c r="BQ58" s="3">
        <v>7</v>
      </c>
      <c r="BR58" s="3">
        <v>7</v>
      </c>
      <c r="BS58" s="3">
        <v>8</v>
      </c>
      <c r="BT58" s="3">
        <v>8</v>
      </c>
      <c r="BU58" s="3">
        <v>9</v>
      </c>
      <c r="BV58" s="3">
        <v>9</v>
      </c>
      <c r="BW58" s="3">
        <v>10</v>
      </c>
      <c r="BX58" s="3">
        <v>10</v>
      </c>
      <c r="BY58" s="3">
        <v>10</v>
      </c>
      <c r="BZ58" s="3">
        <v>10</v>
      </c>
      <c r="CA58" s="3">
        <v>10</v>
      </c>
      <c r="CB58" s="3">
        <v>10</v>
      </c>
      <c r="CC58" s="3">
        <v>10</v>
      </c>
    </row>
    <row r="59" spans="4:81" ht="15" x14ac:dyDescent="0.25">
      <c r="H59" s="87" t="s">
        <v>10</v>
      </c>
      <c r="I59" s="51" t="s">
        <v>51</v>
      </c>
      <c r="L59" s="3"/>
      <c r="O59" s="3"/>
      <c r="P59"/>
    </row>
    <row r="60" spans="4:81" ht="15" x14ac:dyDescent="0.25">
      <c r="H60" s="83" t="s">
        <v>65</v>
      </c>
      <c r="I60" s="81">
        <f>SUMIF(ответы!B:B,"Валидность опросника",ответы!C:C)</f>
        <v>18</v>
      </c>
      <c r="O60" s="3"/>
      <c r="P60"/>
      <c r="Y60" s="70" t="s">
        <v>246</v>
      </c>
      <c r="Z60" s="71"/>
      <c r="AA60" s="71"/>
      <c r="AB60" s="71"/>
      <c r="AC60" s="71"/>
      <c r="AD60" s="71"/>
    </row>
    <row r="61" spans="4:81" ht="15" x14ac:dyDescent="0.25">
      <c r="H61" s="83"/>
      <c r="I61" s="20"/>
      <c r="O61" s="3"/>
      <c r="P61"/>
      <c r="Y61" s="69" t="s">
        <v>40</v>
      </c>
      <c r="Z61" s="68">
        <v>0</v>
      </c>
      <c r="AA61" s="68">
        <v>1</v>
      </c>
      <c r="AB61" s="68">
        <v>2</v>
      </c>
      <c r="AC61" s="68">
        <v>3</v>
      </c>
      <c r="AD61" s="68">
        <v>4</v>
      </c>
      <c r="AE61" s="68">
        <v>5</v>
      </c>
      <c r="AF61" s="68">
        <v>6</v>
      </c>
      <c r="AG61" s="68">
        <v>7</v>
      </c>
      <c r="AH61" s="68">
        <v>8</v>
      </c>
      <c r="AI61" s="68">
        <v>9</v>
      </c>
      <c r="AJ61" s="68">
        <v>10</v>
      </c>
      <c r="AK61" s="68">
        <v>11</v>
      </c>
      <c r="AL61" s="68">
        <v>12</v>
      </c>
      <c r="AM61" s="68">
        <v>13</v>
      </c>
      <c r="AN61" s="68">
        <v>14</v>
      </c>
      <c r="AO61" s="68">
        <v>15</v>
      </c>
      <c r="AP61" s="68">
        <v>16</v>
      </c>
      <c r="AQ61" s="68">
        <v>17</v>
      </c>
      <c r="AR61" s="68">
        <v>18</v>
      </c>
      <c r="AS61" s="68">
        <v>19</v>
      </c>
      <c r="AT61" s="68">
        <v>20</v>
      </c>
      <c r="AU61" s="68">
        <v>21</v>
      </c>
      <c r="AV61" s="68">
        <v>22</v>
      </c>
      <c r="AW61" s="68">
        <v>23</v>
      </c>
      <c r="AX61" s="68">
        <v>24</v>
      </c>
    </row>
    <row r="62" spans="4:81" ht="15" x14ac:dyDescent="0.25">
      <c r="H62" s="83"/>
      <c r="I62" s="20"/>
      <c r="O62" s="3"/>
      <c r="P62"/>
      <c r="X62" s="15"/>
      <c r="Y62" s="59" t="s">
        <v>140</v>
      </c>
      <c r="Z62" s="60">
        <v>0</v>
      </c>
      <c r="AA62" s="60">
        <v>1</v>
      </c>
      <c r="AB62" s="60">
        <v>1</v>
      </c>
      <c r="AC62" s="60">
        <v>1</v>
      </c>
      <c r="AD62" s="60">
        <v>1</v>
      </c>
      <c r="AE62" s="60">
        <v>1</v>
      </c>
      <c r="AF62" s="60">
        <v>1</v>
      </c>
      <c r="AG62" s="60">
        <v>1</v>
      </c>
      <c r="AH62" s="61">
        <v>2</v>
      </c>
      <c r="AI62" s="61">
        <v>2</v>
      </c>
      <c r="AJ62" s="61">
        <v>3</v>
      </c>
      <c r="AK62" s="61">
        <v>3</v>
      </c>
      <c r="AL62" s="61">
        <v>4</v>
      </c>
      <c r="AM62" s="61">
        <v>4</v>
      </c>
      <c r="AN62" s="61">
        <v>5</v>
      </c>
      <c r="AO62" s="61">
        <v>5</v>
      </c>
      <c r="AP62" s="61">
        <v>6</v>
      </c>
      <c r="AQ62" s="61">
        <v>6</v>
      </c>
      <c r="AR62" s="61">
        <v>7</v>
      </c>
      <c r="AS62" s="61">
        <v>7</v>
      </c>
      <c r="AT62" s="61">
        <v>8</v>
      </c>
      <c r="AU62" s="61">
        <v>8</v>
      </c>
      <c r="AV62" s="61">
        <v>9</v>
      </c>
      <c r="AW62" s="61">
        <v>9</v>
      </c>
      <c r="AX62" s="60">
        <v>10</v>
      </c>
    </row>
    <row r="63" spans="4:81" ht="15" x14ac:dyDescent="0.25">
      <c r="H63" s="83"/>
      <c r="I63" s="20"/>
      <c r="O63" s="3"/>
      <c r="P63"/>
      <c r="X63" s="15"/>
      <c r="Y63" s="59" t="s">
        <v>137</v>
      </c>
      <c r="Z63" s="60">
        <v>0</v>
      </c>
      <c r="AA63" s="60">
        <v>1</v>
      </c>
      <c r="AB63" s="60">
        <v>1</v>
      </c>
      <c r="AC63" s="60">
        <v>1</v>
      </c>
      <c r="AD63" s="60">
        <v>1</v>
      </c>
      <c r="AE63" s="60">
        <v>1</v>
      </c>
      <c r="AF63" s="60">
        <v>1</v>
      </c>
      <c r="AG63" s="61">
        <v>2</v>
      </c>
      <c r="AH63" s="61">
        <v>2</v>
      </c>
      <c r="AI63" s="61">
        <v>3</v>
      </c>
      <c r="AJ63" s="61">
        <v>3</v>
      </c>
      <c r="AK63" s="61">
        <v>4</v>
      </c>
      <c r="AL63" s="61">
        <v>4</v>
      </c>
      <c r="AM63" s="61">
        <v>5</v>
      </c>
      <c r="AN63" s="61">
        <v>6</v>
      </c>
      <c r="AO63" s="61">
        <v>6</v>
      </c>
      <c r="AP63" s="61">
        <v>7</v>
      </c>
      <c r="AQ63" s="61">
        <v>7</v>
      </c>
      <c r="AR63" s="61">
        <v>8</v>
      </c>
      <c r="AS63" s="61">
        <v>9</v>
      </c>
      <c r="AT63" s="60">
        <v>10</v>
      </c>
      <c r="AU63" s="62"/>
      <c r="AV63" s="62"/>
      <c r="AW63" s="62"/>
      <c r="AX63" s="62"/>
    </row>
    <row r="64" spans="4:81" ht="15" x14ac:dyDescent="0.25">
      <c r="O64" s="3"/>
      <c r="P64"/>
      <c r="X64" s="15"/>
      <c r="Y64" s="59" t="s">
        <v>242</v>
      </c>
      <c r="Z64" s="60">
        <v>0</v>
      </c>
      <c r="AA64" s="60">
        <v>1</v>
      </c>
      <c r="AB64" s="60">
        <v>1</v>
      </c>
      <c r="AC64" s="60">
        <v>1</v>
      </c>
      <c r="AD64" s="60">
        <v>1</v>
      </c>
      <c r="AE64" s="61">
        <v>2</v>
      </c>
      <c r="AF64" s="61">
        <v>2</v>
      </c>
      <c r="AG64" s="61">
        <v>2</v>
      </c>
      <c r="AH64" s="61">
        <v>2</v>
      </c>
      <c r="AI64" s="61">
        <v>3</v>
      </c>
      <c r="AJ64" s="61">
        <v>3</v>
      </c>
      <c r="AK64" s="61">
        <v>4</v>
      </c>
      <c r="AL64" s="61">
        <v>4</v>
      </c>
      <c r="AM64" s="61">
        <v>5</v>
      </c>
      <c r="AN64" s="61">
        <v>5</v>
      </c>
      <c r="AO64" s="61">
        <v>6</v>
      </c>
      <c r="AP64" s="61">
        <v>6</v>
      </c>
      <c r="AQ64" s="61">
        <v>7</v>
      </c>
      <c r="AR64" s="61">
        <v>7</v>
      </c>
      <c r="AS64" s="61">
        <v>8</v>
      </c>
      <c r="AT64" s="61">
        <v>8</v>
      </c>
      <c r="AU64" s="61">
        <v>8</v>
      </c>
      <c r="AV64" s="61">
        <v>9</v>
      </c>
      <c r="AW64" s="61">
        <v>9</v>
      </c>
      <c r="AX64" s="60">
        <v>10</v>
      </c>
    </row>
    <row r="65" spans="2:50" ht="15" x14ac:dyDescent="0.25">
      <c r="O65" s="3"/>
      <c r="P65"/>
      <c r="X65" s="15"/>
      <c r="Y65" s="59"/>
      <c r="Z65" s="60"/>
      <c r="AA65" s="60"/>
      <c r="AB65" s="60"/>
      <c r="AC65" s="60"/>
      <c r="AD65" s="60"/>
      <c r="AE65" s="60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0"/>
      <c r="AV65" s="60"/>
      <c r="AW65" s="60"/>
      <c r="AX65" s="60"/>
    </row>
    <row r="66" spans="2:50" ht="15" x14ac:dyDescent="0.25">
      <c r="O66" s="3"/>
      <c r="P66"/>
      <c r="X66" s="15"/>
      <c r="Y66" s="59" t="s">
        <v>245</v>
      </c>
      <c r="Z66" s="60">
        <v>0</v>
      </c>
      <c r="AA66" s="60">
        <v>1</v>
      </c>
      <c r="AB66" s="60">
        <v>1</v>
      </c>
      <c r="AC66" s="60">
        <v>1</v>
      </c>
      <c r="AD66" s="60">
        <v>1</v>
      </c>
      <c r="AE66" s="61">
        <v>2</v>
      </c>
      <c r="AF66" s="61">
        <v>2</v>
      </c>
      <c r="AG66" s="61">
        <v>3</v>
      </c>
      <c r="AH66" s="61">
        <v>3</v>
      </c>
      <c r="AI66" s="61">
        <v>4</v>
      </c>
      <c r="AJ66" s="61">
        <v>4</v>
      </c>
      <c r="AK66" s="61">
        <v>5</v>
      </c>
      <c r="AL66" s="61">
        <v>5</v>
      </c>
      <c r="AM66" s="61">
        <v>6</v>
      </c>
      <c r="AN66" s="61">
        <v>6</v>
      </c>
      <c r="AO66" s="61">
        <v>7</v>
      </c>
      <c r="AP66" s="61">
        <v>7</v>
      </c>
      <c r="AQ66" s="61">
        <v>8</v>
      </c>
      <c r="AR66" s="61">
        <v>8</v>
      </c>
      <c r="AS66" s="61">
        <v>8</v>
      </c>
      <c r="AT66" s="61">
        <v>9</v>
      </c>
      <c r="AU66" s="61">
        <v>9</v>
      </c>
      <c r="AV66" s="61">
        <v>9</v>
      </c>
      <c r="AW66" s="60">
        <v>10</v>
      </c>
      <c r="AX66" s="60">
        <v>10</v>
      </c>
    </row>
    <row r="67" spans="2:50" ht="12" x14ac:dyDescent="0.15">
      <c r="O67" s="3"/>
      <c r="X67" s="15"/>
      <c r="Y67" s="59" t="s">
        <v>0</v>
      </c>
      <c r="Z67" s="60">
        <v>0</v>
      </c>
      <c r="AA67" s="60">
        <v>1</v>
      </c>
      <c r="AB67" s="60">
        <v>1</v>
      </c>
      <c r="AC67" s="60">
        <v>1</v>
      </c>
      <c r="AD67" s="60">
        <v>1</v>
      </c>
      <c r="AE67" s="60">
        <v>1</v>
      </c>
      <c r="AF67" s="60">
        <v>1</v>
      </c>
      <c r="AG67" s="60">
        <v>1</v>
      </c>
      <c r="AH67" s="60">
        <v>1</v>
      </c>
      <c r="AI67" s="61">
        <v>2</v>
      </c>
      <c r="AJ67" s="61">
        <v>3</v>
      </c>
      <c r="AK67" s="61">
        <v>4</v>
      </c>
      <c r="AL67" s="61">
        <v>5</v>
      </c>
      <c r="AM67" s="61">
        <v>6</v>
      </c>
      <c r="AN67" s="61">
        <v>7</v>
      </c>
      <c r="AO67" s="61">
        <v>8</v>
      </c>
      <c r="AP67" s="61">
        <v>8</v>
      </c>
      <c r="AQ67" s="61">
        <v>9</v>
      </c>
      <c r="AR67" s="60">
        <v>10</v>
      </c>
      <c r="AS67" s="60">
        <v>10</v>
      </c>
      <c r="AT67" s="60">
        <v>10</v>
      </c>
      <c r="AU67" s="60">
        <v>10</v>
      </c>
      <c r="AV67" s="60">
        <v>10</v>
      </c>
      <c r="AW67" s="60">
        <v>10</v>
      </c>
      <c r="AX67" s="60">
        <v>10</v>
      </c>
    </row>
    <row r="68" spans="2:50" ht="12" x14ac:dyDescent="0.15">
      <c r="O68" s="3"/>
      <c r="X68" s="15"/>
      <c r="Y68" s="59" t="s">
        <v>151</v>
      </c>
      <c r="Z68" s="60">
        <v>0</v>
      </c>
      <c r="AA68" s="60">
        <v>1</v>
      </c>
      <c r="AB68" s="60">
        <v>1</v>
      </c>
      <c r="AC68" s="60">
        <v>1</v>
      </c>
      <c r="AD68" s="60">
        <v>1</v>
      </c>
      <c r="AE68" s="61">
        <v>2</v>
      </c>
      <c r="AF68" s="61">
        <v>3</v>
      </c>
      <c r="AG68" s="61">
        <v>4</v>
      </c>
      <c r="AH68" s="61">
        <v>5</v>
      </c>
      <c r="AI68" s="61">
        <v>5</v>
      </c>
      <c r="AJ68" s="61">
        <v>6</v>
      </c>
      <c r="AK68" s="61">
        <v>6</v>
      </c>
      <c r="AL68" s="61">
        <v>7</v>
      </c>
      <c r="AM68" s="61">
        <v>7</v>
      </c>
      <c r="AN68" s="61">
        <v>8</v>
      </c>
      <c r="AO68" s="61">
        <v>9</v>
      </c>
      <c r="AP68" s="61">
        <v>9</v>
      </c>
      <c r="AQ68" s="60">
        <v>10</v>
      </c>
      <c r="AR68" s="60">
        <v>10</v>
      </c>
      <c r="AS68" s="60">
        <v>10</v>
      </c>
      <c r="AT68" s="60">
        <v>10</v>
      </c>
      <c r="AU68" s="60">
        <v>10</v>
      </c>
      <c r="AV68" s="60">
        <v>10</v>
      </c>
      <c r="AW68" s="60">
        <v>10</v>
      </c>
      <c r="AX68" s="60">
        <v>10</v>
      </c>
    </row>
    <row r="69" spans="2:50" ht="12" x14ac:dyDescent="0.15">
      <c r="X69" s="15"/>
      <c r="Y69" s="59" t="s">
        <v>154</v>
      </c>
      <c r="Z69" s="60">
        <v>0</v>
      </c>
      <c r="AA69" s="60">
        <v>1</v>
      </c>
      <c r="AB69" s="61">
        <v>2</v>
      </c>
      <c r="AC69" s="61">
        <v>2</v>
      </c>
      <c r="AD69" s="61">
        <v>3</v>
      </c>
      <c r="AE69" s="61">
        <v>3</v>
      </c>
      <c r="AF69" s="61">
        <v>4</v>
      </c>
      <c r="AG69" s="61">
        <v>4</v>
      </c>
      <c r="AH69" s="61">
        <v>5</v>
      </c>
      <c r="AI69" s="61">
        <v>6</v>
      </c>
      <c r="AJ69" s="61">
        <v>6</v>
      </c>
      <c r="AK69" s="61">
        <v>7</v>
      </c>
      <c r="AL69" s="61">
        <v>7</v>
      </c>
      <c r="AM69" s="61">
        <v>8</v>
      </c>
      <c r="AN69" s="61">
        <v>8</v>
      </c>
      <c r="AO69" s="61">
        <v>9</v>
      </c>
      <c r="AP69" s="61">
        <v>9</v>
      </c>
      <c r="AQ69" s="61">
        <v>9</v>
      </c>
      <c r="AR69" s="61">
        <v>9</v>
      </c>
      <c r="AS69" s="61">
        <v>9</v>
      </c>
      <c r="AT69" s="61">
        <v>9</v>
      </c>
      <c r="AU69" s="61">
        <v>9</v>
      </c>
      <c r="AV69" s="60">
        <v>10</v>
      </c>
      <c r="AW69" s="60">
        <v>10</v>
      </c>
      <c r="AX69" s="60">
        <v>10</v>
      </c>
    </row>
    <row r="70" spans="2:50" ht="12" x14ac:dyDescent="0.15">
      <c r="X70" s="15"/>
      <c r="Y70" s="59" t="s">
        <v>157</v>
      </c>
      <c r="Z70" s="60">
        <v>0</v>
      </c>
      <c r="AA70" s="60">
        <v>1</v>
      </c>
      <c r="AB70" s="60">
        <v>1</v>
      </c>
      <c r="AC70" s="60">
        <v>1</v>
      </c>
      <c r="AD70" s="60">
        <v>1</v>
      </c>
      <c r="AE70" s="60">
        <v>1</v>
      </c>
      <c r="AF70" s="61">
        <v>2</v>
      </c>
      <c r="AG70" s="61">
        <v>2</v>
      </c>
      <c r="AH70" s="61">
        <v>3</v>
      </c>
      <c r="AI70" s="61">
        <v>3</v>
      </c>
      <c r="AJ70" s="61">
        <v>4</v>
      </c>
      <c r="AK70" s="61">
        <v>4</v>
      </c>
      <c r="AL70" s="61">
        <v>4</v>
      </c>
      <c r="AM70" s="61">
        <v>5</v>
      </c>
      <c r="AN70" s="61">
        <v>5</v>
      </c>
      <c r="AO70" s="61">
        <v>6</v>
      </c>
      <c r="AP70" s="61">
        <v>6</v>
      </c>
      <c r="AQ70" s="61">
        <v>7</v>
      </c>
      <c r="AR70" s="61">
        <v>7</v>
      </c>
      <c r="AS70" s="61">
        <v>8</v>
      </c>
      <c r="AT70" s="61">
        <v>8</v>
      </c>
      <c r="AU70" s="61">
        <v>9</v>
      </c>
      <c r="AV70" s="61">
        <v>9</v>
      </c>
      <c r="AW70" s="61">
        <v>9</v>
      </c>
      <c r="AX70" s="60">
        <v>10</v>
      </c>
    </row>
    <row r="71" spans="2:50" ht="12" x14ac:dyDescent="0.15">
      <c r="X71" s="15"/>
      <c r="Y71" s="59" t="s">
        <v>3</v>
      </c>
      <c r="Z71" s="60">
        <v>0</v>
      </c>
      <c r="AA71" s="60">
        <v>1</v>
      </c>
      <c r="AB71" s="60">
        <v>1</v>
      </c>
      <c r="AC71" s="60">
        <v>1</v>
      </c>
      <c r="AD71" s="61">
        <v>2</v>
      </c>
      <c r="AE71" s="61">
        <v>2</v>
      </c>
      <c r="AF71" s="61">
        <v>3</v>
      </c>
      <c r="AG71" s="61">
        <v>3</v>
      </c>
      <c r="AH71" s="61">
        <v>4</v>
      </c>
      <c r="AI71" s="61">
        <v>4</v>
      </c>
      <c r="AJ71" s="61">
        <v>5</v>
      </c>
      <c r="AK71" s="61">
        <v>5</v>
      </c>
      <c r="AL71" s="61">
        <v>6</v>
      </c>
      <c r="AM71" s="61">
        <v>6</v>
      </c>
      <c r="AN71" s="61">
        <v>7</v>
      </c>
      <c r="AO71" s="61">
        <v>7</v>
      </c>
      <c r="AP71" s="61">
        <v>7</v>
      </c>
      <c r="AQ71" s="61">
        <v>7</v>
      </c>
      <c r="AR71" s="61">
        <v>8</v>
      </c>
      <c r="AS71" s="61">
        <v>8</v>
      </c>
      <c r="AT71" s="61">
        <v>8</v>
      </c>
      <c r="AU71" s="61">
        <v>8</v>
      </c>
      <c r="AV71" s="61">
        <v>9</v>
      </c>
      <c r="AW71" s="60">
        <v>10</v>
      </c>
      <c r="AX71" s="60">
        <v>10</v>
      </c>
    </row>
    <row r="72" spans="2:50" ht="12" x14ac:dyDescent="0.15">
      <c r="X72" s="15"/>
      <c r="Y72" s="59" t="s">
        <v>244</v>
      </c>
      <c r="Z72" s="60">
        <v>0</v>
      </c>
      <c r="AA72" s="60">
        <v>1</v>
      </c>
      <c r="AB72" s="60">
        <v>1</v>
      </c>
      <c r="AC72" s="60">
        <v>1</v>
      </c>
      <c r="AD72" s="60">
        <v>1</v>
      </c>
      <c r="AE72" s="60">
        <v>2</v>
      </c>
      <c r="AF72" s="61">
        <v>2</v>
      </c>
      <c r="AG72" s="61">
        <v>3</v>
      </c>
      <c r="AH72" s="61">
        <v>4</v>
      </c>
      <c r="AI72" s="61">
        <v>4</v>
      </c>
      <c r="AJ72" s="61">
        <v>5</v>
      </c>
      <c r="AK72" s="61">
        <v>5</v>
      </c>
      <c r="AL72" s="61">
        <v>6</v>
      </c>
      <c r="AM72" s="61">
        <v>6</v>
      </c>
      <c r="AN72" s="61">
        <v>7</v>
      </c>
      <c r="AO72" s="61">
        <v>7</v>
      </c>
      <c r="AP72" s="61">
        <v>8</v>
      </c>
      <c r="AQ72" s="61">
        <v>8</v>
      </c>
      <c r="AR72" s="61">
        <v>9</v>
      </c>
      <c r="AS72" s="61">
        <v>9</v>
      </c>
      <c r="AT72" s="60">
        <v>10</v>
      </c>
      <c r="AU72" s="60">
        <v>10</v>
      </c>
      <c r="AV72" s="60">
        <v>10</v>
      </c>
      <c r="AW72" s="60">
        <v>10</v>
      </c>
      <c r="AX72" s="60">
        <v>10</v>
      </c>
    </row>
    <row r="73" spans="2:50" ht="12" x14ac:dyDescent="0.15">
      <c r="X73" s="15"/>
      <c r="Y73" s="59" t="s">
        <v>163</v>
      </c>
      <c r="Z73" s="60">
        <v>0</v>
      </c>
      <c r="AA73" s="60">
        <v>1</v>
      </c>
      <c r="AB73" s="61">
        <v>2</v>
      </c>
      <c r="AC73" s="61">
        <v>3</v>
      </c>
      <c r="AD73" s="61">
        <v>4</v>
      </c>
      <c r="AE73" s="61">
        <v>5</v>
      </c>
      <c r="AF73" s="61">
        <v>6</v>
      </c>
      <c r="AG73" s="61">
        <v>6</v>
      </c>
      <c r="AH73" s="61">
        <v>7</v>
      </c>
      <c r="AI73" s="61">
        <v>7</v>
      </c>
      <c r="AJ73" s="61">
        <v>8</v>
      </c>
      <c r="AK73" s="61">
        <v>8</v>
      </c>
      <c r="AL73" s="61">
        <v>8</v>
      </c>
      <c r="AM73" s="61">
        <v>8</v>
      </c>
      <c r="AN73" s="61">
        <v>9</v>
      </c>
      <c r="AO73" s="61">
        <v>9</v>
      </c>
      <c r="AP73" s="61">
        <v>10</v>
      </c>
      <c r="AQ73" s="60">
        <v>10</v>
      </c>
      <c r="AR73" s="60">
        <v>10</v>
      </c>
      <c r="AS73" s="60">
        <v>10</v>
      </c>
      <c r="AT73" s="60">
        <v>10</v>
      </c>
      <c r="AU73" s="60">
        <v>10</v>
      </c>
      <c r="AV73" s="60">
        <v>10</v>
      </c>
      <c r="AW73" s="60">
        <v>10</v>
      </c>
      <c r="AX73" s="60">
        <v>10</v>
      </c>
    </row>
    <row r="74" spans="2:50" ht="12" x14ac:dyDescent="0.15">
      <c r="D74" s="6"/>
      <c r="R74" s="17"/>
      <c r="T74" s="17"/>
      <c r="U74" s="17"/>
      <c r="V74" s="17"/>
      <c r="W74" s="17"/>
      <c r="X74" s="17"/>
      <c r="Y74" s="59" t="s">
        <v>6</v>
      </c>
      <c r="Z74" s="60">
        <v>0</v>
      </c>
      <c r="AA74" s="60">
        <v>1</v>
      </c>
      <c r="AB74" s="61">
        <v>1</v>
      </c>
      <c r="AC74" s="61">
        <v>2</v>
      </c>
      <c r="AD74" s="61">
        <v>2</v>
      </c>
      <c r="AE74" s="61">
        <v>3</v>
      </c>
      <c r="AF74" s="61">
        <v>3</v>
      </c>
      <c r="AG74" s="61">
        <v>4</v>
      </c>
      <c r="AH74" s="61">
        <v>4</v>
      </c>
      <c r="AI74" s="61">
        <v>5</v>
      </c>
      <c r="AJ74" s="61">
        <v>6</v>
      </c>
      <c r="AK74" s="61">
        <v>6</v>
      </c>
      <c r="AL74" s="61">
        <v>7</v>
      </c>
      <c r="AM74" s="61">
        <v>7</v>
      </c>
      <c r="AN74" s="61">
        <v>8</v>
      </c>
      <c r="AO74" s="61">
        <v>8</v>
      </c>
      <c r="AP74" s="61">
        <v>9</v>
      </c>
      <c r="AQ74" s="60">
        <v>10</v>
      </c>
      <c r="AR74" s="60">
        <v>10</v>
      </c>
      <c r="AS74" s="60">
        <v>10</v>
      </c>
      <c r="AT74" s="60">
        <v>10</v>
      </c>
      <c r="AU74" s="60">
        <v>10</v>
      </c>
      <c r="AV74" s="60">
        <v>10</v>
      </c>
      <c r="AW74" s="60">
        <v>10</v>
      </c>
      <c r="AX74" s="60">
        <v>10</v>
      </c>
    </row>
    <row r="75" spans="2:50" ht="12" x14ac:dyDescent="0.15">
      <c r="D75" s="6"/>
      <c r="R75" s="17"/>
      <c r="X75" s="15"/>
      <c r="Y75" s="59" t="s">
        <v>167</v>
      </c>
      <c r="Z75" s="60">
        <v>0</v>
      </c>
      <c r="AA75" s="60">
        <v>1</v>
      </c>
      <c r="AB75" s="60">
        <v>1</v>
      </c>
      <c r="AC75" s="60">
        <v>1</v>
      </c>
      <c r="AD75" s="61">
        <v>2</v>
      </c>
      <c r="AE75" s="61">
        <v>2</v>
      </c>
      <c r="AF75" s="61">
        <v>3</v>
      </c>
      <c r="AG75" s="61">
        <v>3</v>
      </c>
      <c r="AH75" s="61">
        <v>4</v>
      </c>
      <c r="AI75" s="61">
        <v>4</v>
      </c>
      <c r="AJ75" s="61">
        <v>5</v>
      </c>
      <c r="AK75" s="61">
        <v>5</v>
      </c>
      <c r="AL75" s="61">
        <v>6</v>
      </c>
      <c r="AM75" s="61">
        <v>6</v>
      </c>
      <c r="AN75" s="61">
        <v>6</v>
      </c>
      <c r="AO75" s="61">
        <v>7</v>
      </c>
      <c r="AP75" s="61">
        <v>7</v>
      </c>
      <c r="AQ75" s="61">
        <v>8</v>
      </c>
      <c r="AR75" s="61">
        <v>8</v>
      </c>
      <c r="AS75" s="61">
        <v>9</v>
      </c>
      <c r="AT75" s="61">
        <v>9</v>
      </c>
      <c r="AU75" s="61">
        <v>9</v>
      </c>
      <c r="AV75" s="60">
        <v>10</v>
      </c>
      <c r="AW75" s="60">
        <v>10</v>
      </c>
      <c r="AX75" s="60">
        <v>10</v>
      </c>
    </row>
    <row r="76" spans="2:50" ht="15" x14ac:dyDescent="0.25">
      <c r="B76" s="48"/>
      <c r="C76" s="50"/>
      <c r="D76" s="6"/>
      <c r="R76" s="17"/>
      <c r="X76" s="15"/>
      <c r="Y76" s="59" t="s">
        <v>243</v>
      </c>
      <c r="Z76" s="60">
        <v>0</v>
      </c>
      <c r="AA76" s="60">
        <v>1</v>
      </c>
      <c r="AB76" s="60">
        <v>1</v>
      </c>
      <c r="AC76" s="60">
        <v>1</v>
      </c>
      <c r="AD76" s="61">
        <v>1</v>
      </c>
      <c r="AE76" s="61">
        <v>1</v>
      </c>
      <c r="AF76" s="61">
        <v>1</v>
      </c>
      <c r="AG76" s="61">
        <v>2</v>
      </c>
      <c r="AH76" s="61">
        <v>2</v>
      </c>
      <c r="AI76" s="61">
        <v>3</v>
      </c>
      <c r="AJ76" s="61">
        <v>3</v>
      </c>
      <c r="AK76" s="61">
        <v>4</v>
      </c>
      <c r="AL76" s="61">
        <v>4</v>
      </c>
      <c r="AM76" s="61">
        <v>5</v>
      </c>
      <c r="AN76" s="61">
        <v>5</v>
      </c>
      <c r="AO76" s="61">
        <v>6</v>
      </c>
      <c r="AP76" s="61">
        <v>6</v>
      </c>
      <c r="AQ76" s="61">
        <v>7</v>
      </c>
      <c r="AR76" s="61">
        <v>7</v>
      </c>
      <c r="AS76" s="61">
        <v>8</v>
      </c>
      <c r="AT76" s="61">
        <v>8</v>
      </c>
      <c r="AU76" s="61">
        <v>9</v>
      </c>
      <c r="AV76" s="61">
        <v>9</v>
      </c>
      <c r="AW76" s="61">
        <v>9</v>
      </c>
      <c r="AX76" s="60">
        <v>10</v>
      </c>
    </row>
    <row r="77" spans="2:50" ht="12" x14ac:dyDescent="0.15">
      <c r="R77" s="17"/>
      <c r="X77" s="15"/>
      <c r="Y77" s="59" t="s">
        <v>8</v>
      </c>
      <c r="Z77" s="60">
        <v>0</v>
      </c>
      <c r="AA77" s="60">
        <v>1</v>
      </c>
      <c r="AB77" s="60">
        <v>1</v>
      </c>
      <c r="AC77" s="60">
        <v>1</v>
      </c>
      <c r="AD77" s="61">
        <v>2</v>
      </c>
      <c r="AE77" s="61">
        <v>2</v>
      </c>
      <c r="AF77" s="61">
        <v>3</v>
      </c>
      <c r="AG77" s="61">
        <v>3</v>
      </c>
      <c r="AH77" s="61">
        <v>4</v>
      </c>
      <c r="AI77" s="61">
        <v>4</v>
      </c>
      <c r="AJ77" s="61">
        <v>6</v>
      </c>
      <c r="AK77" s="61">
        <v>6</v>
      </c>
      <c r="AL77" s="61">
        <v>7</v>
      </c>
      <c r="AM77" s="61">
        <v>7</v>
      </c>
      <c r="AN77" s="61">
        <v>8</v>
      </c>
      <c r="AO77" s="61">
        <v>8</v>
      </c>
      <c r="AP77" s="61">
        <v>9</v>
      </c>
      <c r="AQ77" s="61">
        <v>9</v>
      </c>
      <c r="AR77" s="61">
        <v>9</v>
      </c>
      <c r="AS77" s="60">
        <v>10</v>
      </c>
      <c r="AT77" s="60">
        <v>10</v>
      </c>
      <c r="AU77" s="60">
        <v>10</v>
      </c>
      <c r="AV77" s="60">
        <v>10</v>
      </c>
      <c r="AW77" s="60">
        <v>10</v>
      </c>
      <c r="AX77" s="60">
        <v>10</v>
      </c>
    </row>
    <row r="78" spans="2:50" ht="15" x14ac:dyDescent="0.25">
      <c r="B78" s="48"/>
      <c r="C78" s="50"/>
      <c r="R78" s="17"/>
      <c r="X78" s="15"/>
      <c r="Y78" s="59" t="s">
        <v>9</v>
      </c>
      <c r="Z78" s="60">
        <v>0</v>
      </c>
      <c r="AA78" s="60">
        <v>1</v>
      </c>
      <c r="AB78" s="60">
        <v>1</v>
      </c>
      <c r="AC78" s="61">
        <v>2</v>
      </c>
      <c r="AD78" s="61">
        <v>2</v>
      </c>
      <c r="AE78" s="61">
        <v>3</v>
      </c>
      <c r="AF78" s="61">
        <v>3</v>
      </c>
      <c r="AG78" s="61">
        <v>4</v>
      </c>
      <c r="AH78" s="61">
        <v>4</v>
      </c>
      <c r="AI78" s="61">
        <v>5</v>
      </c>
      <c r="AJ78" s="61">
        <v>5</v>
      </c>
      <c r="AK78" s="61">
        <v>6</v>
      </c>
      <c r="AL78" s="61">
        <v>6</v>
      </c>
      <c r="AM78" s="61">
        <v>7</v>
      </c>
      <c r="AN78" s="61">
        <v>7</v>
      </c>
      <c r="AO78" s="61">
        <v>8</v>
      </c>
      <c r="AP78" s="61">
        <v>8</v>
      </c>
      <c r="AQ78" s="61">
        <v>9</v>
      </c>
      <c r="AR78" s="61">
        <v>9</v>
      </c>
      <c r="AS78" s="60">
        <v>10</v>
      </c>
      <c r="AT78" s="60">
        <v>10</v>
      </c>
      <c r="AU78" s="60">
        <v>10</v>
      </c>
      <c r="AV78" s="60">
        <v>10</v>
      </c>
      <c r="AW78" s="60">
        <v>10</v>
      </c>
      <c r="AX78" s="60">
        <v>10</v>
      </c>
    </row>
    <row r="79" spans="2:50" ht="12" x14ac:dyDescent="0.2">
      <c r="R79" s="17"/>
      <c r="X79" s="15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</row>
    <row r="80" spans="2:50" ht="15" x14ac:dyDescent="0.25">
      <c r="B80" s="48"/>
      <c r="C80" s="50"/>
      <c r="R80" s="17"/>
      <c r="X80" s="15"/>
    </row>
    <row r="81" spans="18:56" x14ac:dyDescent="0.15">
      <c r="R81" s="17"/>
      <c r="X81" s="15"/>
    </row>
    <row r="82" spans="18:56" ht="15" x14ac:dyDescent="0.25">
      <c r="R82" s="17"/>
      <c r="Y82" s="72" t="s">
        <v>246</v>
      </c>
      <c r="Z82" s="73"/>
      <c r="AA82" s="73"/>
      <c r="AB82" s="73"/>
      <c r="AC82" s="73"/>
      <c r="AD82" s="73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8:56" ht="15" x14ac:dyDescent="0.15">
      <c r="R83" s="17"/>
      <c r="Y83" s="74" t="s">
        <v>40</v>
      </c>
      <c r="Z83" s="75">
        <v>0</v>
      </c>
      <c r="AA83" s="75">
        <v>1</v>
      </c>
      <c r="AB83" s="75">
        <v>2</v>
      </c>
      <c r="AC83" s="75">
        <v>3</v>
      </c>
      <c r="AD83" s="75">
        <v>4</v>
      </c>
      <c r="AE83" s="75">
        <v>5</v>
      </c>
      <c r="AF83" s="75">
        <v>6</v>
      </c>
      <c r="AG83" s="75">
        <v>7</v>
      </c>
      <c r="AH83" s="75">
        <v>8</v>
      </c>
      <c r="AI83" s="75">
        <v>9</v>
      </c>
      <c r="AJ83" s="75">
        <v>10</v>
      </c>
      <c r="AK83" s="75">
        <v>11</v>
      </c>
      <c r="AL83" s="75">
        <v>12</v>
      </c>
      <c r="AM83" s="75">
        <v>13</v>
      </c>
      <c r="AN83" s="75">
        <v>14</v>
      </c>
      <c r="AO83" s="75">
        <v>15</v>
      </c>
      <c r="AP83" s="75">
        <v>16</v>
      </c>
      <c r="AQ83" s="75">
        <v>17</v>
      </c>
      <c r="AR83" s="75">
        <v>18</v>
      </c>
      <c r="AS83" s="75">
        <v>19</v>
      </c>
      <c r="AT83" s="75">
        <v>20</v>
      </c>
      <c r="AU83" s="75">
        <v>21</v>
      </c>
      <c r="AV83" s="75">
        <v>22</v>
      </c>
      <c r="AW83" s="75">
        <v>23</v>
      </c>
      <c r="AX83" s="75">
        <v>24</v>
      </c>
      <c r="AY83" s="75">
        <v>25</v>
      </c>
      <c r="AZ83" s="75">
        <v>26</v>
      </c>
      <c r="BA83" s="75">
        <v>27</v>
      </c>
      <c r="BB83" s="75">
        <v>28</v>
      </c>
      <c r="BC83" s="75">
        <v>29</v>
      </c>
      <c r="BD83" s="75">
        <v>30</v>
      </c>
    </row>
    <row r="84" spans="18:56" ht="12" x14ac:dyDescent="0.15">
      <c r="R84" s="17"/>
      <c r="Y84" s="59" t="s">
        <v>81</v>
      </c>
      <c r="Z84" s="60">
        <v>0</v>
      </c>
      <c r="AA84" s="60">
        <v>1</v>
      </c>
      <c r="AB84" s="60">
        <v>1</v>
      </c>
      <c r="AC84" s="60">
        <v>1</v>
      </c>
      <c r="AD84" s="61">
        <v>2</v>
      </c>
      <c r="AE84" s="61">
        <v>2</v>
      </c>
      <c r="AF84" s="61">
        <v>3</v>
      </c>
      <c r="AG84" s="61">
        <v>3</v>
      </c>
      <c r="AH84" s="61">
        <v>4</v>
      </c>
      <c r="AI84" s="61">
        <v>4</v>
      </c>
      <c r="AJ84" s="61">
        <v>5</v>
      </c>
      <c r="AK84" s="61">
        <v>5</v>
      </c>
      <c r="AL84" s="61">
        <v>6</v>
      </c>
      <c r="AM84" s="61">
        <v>6</v>
      </c>
      <c r="AN84" s="61">
        <v>6</v>
      </c>
      <c r="AO84" s="61">
        <v>6</v>
      </c>
      <c r="AP84" s="61">
        <v>6</v>
      </c>
      <c r="AQ84" s="61">
        <v>7</v>
      </c>
      <c r="AR84" s="61">
        <v>7</v>
      </c>
      <c r="AS84" s="61">
        <v>7</v>
      </c>
      <c r="AT84" s="61">
        <v>7</v>
      </c>
      <c r="AU84" s="61">
        <v>8</v>
      </c>
      <c r="AV84" s="61">
        <v>8</v>
      </c>
      <c r="AW84" s="61">
        <v>9</v>
      </c>
      <c r="AX84" s="61">
        <v>9</v>
      </c>
      <c r="AY84" s="61">
        <v>9</v>
      </c>
      <c r="AZ84" s="61">
        <v>9</v>
      </c>
      <c r="BA84" s="60">
        <v>10</v>
      </c>
      <c r="BB84" s="60">
        <v>10</v>
      </c>
      <c r="BC84" s="60">
        <v>10</v>
      </c>
      <c r="BD84" s="60">
        <v>10</v>
      </c>
    </row>
    <row r="85" spans="18:56" ht="12" x14ac:dyDescent="0.15">
      <c r="R85" s="17"/>
      <c r="Y85" s="59" t="s">
        <v>12</v>
      </c>
      <c r="Z85" s="60">
        <v>0</v>
      </c>
      <c r="AA85" s="60">
        <v>1</v>
      </c>
      <c r="AB85" s="60">
        <v>1</v>
      </c>
      <c r="AC85" s="61">
        <v>2</v>
      </c>
      <c r="AD85" s="61">
        <v>2</v>
      </c>
      <c r="AE85" s="61">
        <v>2</v>
      </c>
      <c r="AF85" s="61">
        <v>2</v>
      </c>
      <c r="AG85" s="61">
        <v>3</v>
      </c>
      <c r="AH85" s="61">
        <v>4</v>
      </c>
      <c r="AI85" s="61">
        <v>4</v>
      </c>
      <c r="AJ85" s="61">
        <v>5</v>
      </c>
      <c r="AK85" s="61">
        <v>5</v>
      </c>
      <c r="AL85" s="61">
        <v>5</v>
      </c>
      <c r="AM85" s="61">
        <v>6</v>
      </c>
      <c r="AN85" s="61">
        <v>6</v>
      </c>
      <c r="AO85" s="61">
        <v>7</v>
      </c>
      <c r="AP85" s="61">
        <v>7</v>
      </c>
      <c r="AQ85" s="61">
        <v>7</v>
      </c>
      <c r="AR85" s="61">
        <v>8</v>
      </c>
      <c r="AS85" s="61">
        <v>8</v>
      </c>
      <c r="AT85" s="61">
        <v>8</v>
      </c>
      <c r="AU85" s="61">
        <v>9</v>
      </c>
      <c r="AV85" s="61">
        <v>9</v>
      </c>
      <c r="AW85" s="61">
        <v>9</v>
      </c>
      <c r="AX85" s="61">
        <v>9</v>
      </c>
      <c r="AY85" s="61">
        <v>9</v>
      </c>
      <c r="AZ85" s="61">
        <v>9</v>
      </c>
      <c r="BA85" s="60">
        <v>10</v>
      </c>
      <c r="BB85" s="60">
        <v>10</v>
      </c>
      <c r="BC85" s="60">
        <v>10</v>
      </c>
      <c r="BD85" s="60">
        <v>10</v>
      </c>
    </row>
    <row r="86" spans="18:56" ht="12" x14ac:dyDescent="0.15">
      <c r="R86" s="17"/>
      <c r="Y86" s="59" t="s">
        <v>13</v>
      </c>
      <c r="Z86" s="60">
        <v>0</v>
      </c>
      <c r="AA86" s="60">
        <v>1</v>
      </c>
      <c r="AB86" s="60">
        <v>1</v>
      </c>
      <c r="AC86" s="61">
        <v>2</v>
      </c>
      <c r="AD86" s="61">
        <v>2</v>
      </c>
      <c r="AE86" s="61">
        <v>2</v>
      </c>
      <c r="AF86" s="61">
        <v>3</v>
      </c>
      <c r="AG86" s="61">
        <v>3</v>
      </c>
      <c r="AH86" s="61">
        <v>3</v>
      </c>
      <c r="AI86" s="61">
        <v>3</v>
      </c>
      <c r="AJ86" s="61">
        <v>4</v>
      </c>
      <c r="AK86" s="61">
        <v>4</v>
      </c>
      <c r="AL86" s="61">
        <v>5</v>
      </c>
      <c r="AM86" s="61">
        <v>6</v>
      </c>
      <c r="AN86" s="61">
        <v>6</v>
      </c>
      <c r="AO86" s="61">
        <v>6</v>
      </c>
      <c r="AP86" s="61">
        <v>7</v>
      </c>
      <c r="AQ86" s="61">
        <v>7</v>
      </c>
      <c r="AR86" s="61">
        <v>8</v>
      </c>
      <c r="AS86" s="61">
        <v>8</v>
      </c>
      <c r="AT86" s="61">
        <v>8</v>
      </c>
      <c r="AU86" s="61">
        <v>9</v>
      </c>
      <c r="AV86" s="61">
        <v>9</v>
      </c>
      <c r="AW86" s="60">
        <v>10</v>
      </c>
      <c r="AX86" s="60">
        <v>10</v>
      </c>
      <c r="AY86" s="60">
        <v>10</v>
      </c>
      <c r="AZ86" s="60">
        <v>10</v>
      </c>
      <c r="BA86" s="60">
        <v>10</v>
      </c>
      <c r="BB86" s="60">
        <v>10</v>
      </c>
      <c r="BC86" s="60">
        <v>10</v>
      </c>
      <c r="BD86" s="60">
        <v>10</v>
      </c>
    </row>
    <row r="87" spans="18:56" ht="12" x14ac:dyDescent="0.15">
      <c r="R87" s="17"/>
      <c r="Y87" s="59" t="s">
        <v>82</v>
      </c>
      <c r="Z87" s="60">
        <v>0</v>
      </c>
      <c r="AA87" s="60">
        <v>1</v>
      </c>
      <c r="AB87" s="60">
        <v>1</v>
      </c>
      <c r="AC87" s="60">
        <v>1</v>
      </c>
      <c r="AD87" s="60">
        <v>1</v>
      </c>
      <c r="AE87" s="61">
        <v>2</v>
      </c>
      <c r="AF87" s="61">
        <v>2</v>
      </c>
      <c r="AG87" s="61">
        <v>3</v>
      </c>
      <c r="AH87" s="61">
        <v>3</v>
      </c>
      <c r="AI87" s="61">
        <v>3</v>
      </c>
      <c r="AJ87" s="61">
        <v>4</v>
      </c>
      <c r="AK87" s="61">
        <v>4</v>
      </c>
      <c r="AL87" s="61">
        <v>5</v>
      </c>
      <c r="AM87" s="61">
        <v>6</v>
      </c>
      <c r="AN87" s="61">
        <v>6</v>
      </c>
      <c r="AO87" s="61">
        <v>7</v>
      </c>
      <c r="AP87" s="61">
        <v>7</v>
      </c>
      <c r="AQ87" s="61">
        <v>8</v>
      </c>
      <c r="AR87" s="61">
        <v>9</v>
      </c>
      <c r="AS87" s="61">
        <v>9</v>
      </c>
      <c r="AT87" s="60">
        <v>10</v>
      </c>
      <c r="AU87" s="60">
        <v>10</v>
      </c>
      <c r="AV87" s="60">
        <v>10</v>
      </c>
      <c r="AW87" s="60">
        <v>10</v>
      </c>
      <c r="AX87" s="60">
        <v>10</v>
      </c>
      <c r="AY87" s="60">
        <v>10</v>
      </c>
      <c r="AZ87" s="60">
        <v>10</v>
      </c>
      <c r="BA87" s="60">
        <v>10</v>
      </c>
      <c r="BB87" s="60">
        <v>10</v>
      </c>
      <c r="BC87" s="60">
        <v>10</v>
      </c>
      <c r="BD87" s="60">
        <v>10</v>
      </c>
    </row>
    <row r="88" spans="18:56" ht="12" x14ac:dyDescent="0.15">
      <c r="R88" s="17"/>
      <c r="Y88" s="59" t="s">
        <v>87</v>
      </c>
      <c r="Z88" s="60">
        <v>0</v>
      </c>
      <c r="AA88" s="60">
        <v>1</v>
      </c>
      <c r="AB88" s="60">
        <v>1</v>
      </c>
      <c r="AC88" s="60">
        <v>1</v>
      </c>
      <c r="AD88" s="60">
        <v>1</v>
      </c>
      <c r="AE88" s="61">
        <v>2</v>
      </c>
      <c r="AF88" s="61">
        <v>2</v>
      </c>
      <c r="AG88" s="61">
        <v>2</v>
      </c>
      <c r="AH88" s="61">
        <v>2</v>
      </c>
      <c r="AI88" s="61">
        <v>3</v>
      </c>
      <c r="AJ88" s="61">
        <v>3</v>
      </c>
      <c r="AK88" s="61">
        <v>3</v>
      </c>
      <c r="AL88" s="61">
        <v>4</v>
      </c>
      <c r="AM88" s="61">
        <v>4</v>
      </c>
      <c r="AN88" s="61">
        <v>4</v>
      </c>
      <c r="AO88" s="61">
        <v>5</v>
      </c>
      <c r="AP88" s="61">
        <v>5</v>
      </c>
      <c r="AQ88" s="61">
        <v>6</v>
      </c>
      <c r="AR88" s="61">
        <v>6</v>
      </c>
      <c r="AS88" s="61">
        <v>7</v>
      </c>
      <c r="AT88" s="61">
        <v>7</v>
      </c>
      <c r="AU88" s="61">
        <v>7</v>
      </c>
      <c r="AV88" s="61">
        <v>8</v>
      </c>
      <c r="AW88" s="61">
        <v>8</v>
      </c>
      <c r="AX88" s="61">
        <v>8</v>
      </c>
      <c r="AY88" s="61">
        <v>9</v>
      </c>
      <c r="AZ88" s="61">
        <v>9</v>
      </c>
      <c r="BA88" s="60">
        <v>10</v>
      </c>
      <c r="BB88" s="60">
        <v>10</v>
      </c>
      <c r="BC88" s="60">
        <v>10</v>
      </c>
      <c r="BD88" s="60">
        <v>10</v>
      </c>
    </row>
    <row r="89" spans="18:56" ht="12" x14ac:dyDescent="0.15">
      <c r="R89" s="17"/>
      <c r="Y89" s="59" t="s">
        <v>88</v>
      </c>
      <c r="Z89" s="60">
        <v>0</v>
      </c>
      <c r="AA89" s="60">
        <v>1</v>
      </c>
      <c r="AB89" s="60">
        <v>1</v>
      </c>
      <c r="AC89" s="60">
        <v>1</v>
      </c>
      <c r="AD89" s="61">
        <v>2</v>
      </c>
      <c r="AE89" s="61">
        <v>3</v>
      </c>
      <c r="AF89" s="61">
        <v>3</v>
      </c>
      <c r="AG89" s="61">
        <v>4</v>
      </c>
      <c r="AH89" s="61">
        <v>4</v>
      </c>
      <c r="AI89" s="61">
        <v>5</v>
      </c>
      <c r="AJ89" s="61">
        <v>5</v>
      </c>
      <c r="AK89" s="61">
        <v>5</v>
      </c>
      <c r="AL89" s="61">
        <v>6</v>
      </c>
      <c r="AM89" s="61">
        <v>6</v>
      </c>
      <c r="AN89" s="61">
        <v>6</v>
      </c>
      <c r="AO89" s="61">
        <v>7</v>
      </c>
      <c r="AP89" s="61">
        <v>7</v>
      </c>
      <c r="AQ89" s="61">
        <v>7</v>
      </c>
      <c r="AR89" s="61">
        <v>7</v>
      </c>
      <c r="AS89" s="61">
        <v>7</v>
      </c>
      <c r="AT89" s="61">
        <v>7</v>
      </c>
      <c r="AU89" s="61">
        <v>8</v>
      </c>
      <c r="AV89" s="61">
        <v>8</v>
      </c>
      <c r="AW89" s="61">
        <v>9</v>
      </c>
      <c r="AX89" s="60">
        <v>10</v>
      </c>
      <c r="AY89" s="60">
        <v>10</v>
      </c>
      <c r="AZ89" s="60">
        <v>10</v>
      </c>
      <c r="BA89" s="60">
        <v>10</v>
      </c>
      <c r="BB89" s="60">
        <v>10</v>
      </c>
      <c r="BC89" s="60">
        <v>10</v>
      </c>
      <c r="BD89" s="60">
        <v>10</v>
      </c>
    </row>
    <row r="90" spans="18:56" ht="12" x14ac:dyDescent="0.15">
      <c r="R90" s="17"/>
      <c r="Y90" s="59" t="s">
        <v>89</v>
      </c>
      <c r="Z90" s="60">
        <v>0</v>
      </c>
      <c r="AA90" s="60">
        <v>1</v>
      </c>
      <c r="AB90" s="60">
        <v>1</v>
      </c>
      <c r="AC90" s="60">
        <v>1</v>
      </c>
      <c r="AD90" s="60">
        <v>1</v>
      </c>
      <c r="AE90" s="61">
        <v>2</v>
      </c>
      <c r="AF90" s="61">
        <v>2</v>
      </c>
      <c r="AG90" s="61">
        <v>2</v>
      </c>
      <c r="AH90" s="61">
        <v>3</v>
      </c>
      <c r="AI90" s="61">
        <v>3</v>
      </c>
      <c r="AJ90" s="61">
        <v>3</v>
      </c>
      <c r="AK90" s="61">
        <v>4</v>
      </c>
      <c r="AL90" s="61">
        <v>4</v>
      </c>
      <c r="AM90" s="61">
        <v>5</v>
      </c>
      <c r="AN90" s="61">
        <v>5</v>
      </c>
      <c r="AO90" s="61">
        <v>6</v>
      </c>
      <c r="AP90" s="61">
        <v>6</v>
      </c>
      <c r="AQ90" s="61">
        <v>6</v>
      </c>
      <c r="AR90" s="61">
        <v>7</v>
      </c>
      <c r="AS90" s="61">
        <v>7</v>
      </c>
      <c r="AT90" s="61">
        <v>7</v>
      </c>
      <c r="AU90" s="61">
        <v>7</v>
      </c>
      <c r="AV90" s="61">
        <v>8</v>
      </c>
      <c r="AW90" s="61">
        <v>8</v>
      </c>
      <c r="AX90" s="61">
        <v>8</v>
      </c>
      <c r="AY90" s="61">
        <v>9</v>
      </c>
      <c r="AZ90" s="61">
        <v>9</v>
      </c>
      <c r="BA90" s="60">
        <v>10</v>
      </c>
      <c r="BB90" s="60">
        <v>10</v>
      </c>
      <c r="BC90" s="60">
        <v>10</v>
      </c>
      <c r="BD90" s="60">
        <v>10</v>
      </c>
    </row>
    <row r="91" spans="18:56" ht="12" x14ac:dyDescent="0.15">
      <c r="R91" s="17"/>
      <c r="Y91" s="80" t="s">
        <v>248</v>
      </c>
      <c r="Z91" s="60">
        <v>0</v>
      </c>
      <c r="AA91" s="60">
        <v>1</v>
      </c>
      <c r="AB91" s="60">
        <v>1</v>
      </c>
      <c r="AC91" s="60">
        <v>1</v>
      </c>
      <c r="AD91" s="60">
        <v>1</v>
      </c>
      <c r="AE91" s="60">
        <v>1</v>
      </c>
      <c r="AF91" s="61">
        <v>2</v>
      </c>
      <c r="AG91" s="61">
        <v>2</v>
      </c>
      <c r="AH91" s="61">
        <v>2</v>
      </c>
      <c r="AI91" s="61">
        <v>3</v>
      </c>
      <c r="AJ91" s="61">
        <v>3</v>
      </c>
      <c r="AK91" s="61">
        <v>4</v>
      </c>
      <c r="AL91" s="61">
        <v>4</v>
      </c>
      <c r="AM91" s="61">
        <v>5</v>
      </c>
      <c r="AN91" s="61">
        <v>5</v>
      </c>
      <c r="AO91" s="61">
        <v>6</v>
      </c>
      <c r="AP91" s="61">
        <v>6</v>
      </c>
      <c r="AQ91" s="61">
        <v>7</v>
      </c>
      <c r="AR91" s="61">
        <v>7</v>
      </c>
      <c r="AS91" s="61">
        <v>8</v>
      </c>
      <c r="AT91" s="61">
        <v>8</v>
      </c>
      <c r="AU91" s="61">
        <v>8</v>
      </c>
      <c r="AV91" s="61">
        <v>8</v>
      </c>
      <c r="AW91" s="61">
        <v>8</v>
      </c>
      <c r="AX91" s="61">
        <v>8</v>
      </c>
      <c r="AY91" s="61">
        <v>9</v>
      </c>
      <c r="AZ91" s="61">
        <v>9</v>
      </c>
      <c r="BA91" s="61">
        <v>9</v>
      </c>
      <c r="BB91" s="60">
        <v>10</v>
      </c>
      <c r="BC91" s="60">
        <v>10</v>
      </c>
      <c r="BD91" s="60">
        <v>10</v>
      </c>
    </row>
    <row r="92" spans="18:56" ht="12" x14ac:dyDescent="0.15">
      <c r="R92" s="17"/>
      <c r="Y92" s="59" t="s">
        <v>83</v>
      </c>
      <c r="Z92" s="60">
        <v>0</v>
      </c>
      <c r="AA92" s="60">
        <v>1</v>
      </c>
      <c r="AB92" s="60">
        <v>1</v>
      </c>
      <c r="AC92" s="60">
        <v>1</v>
      </c>
      <c r="AD92" s="60">
        <v>1</v>
      </c>
      <c r="AE92" s="61">
        <v>2</v>
      </c>
      <c r="AF92" s="61">
        <v>2</v>
      </c>
      <c r="AG92" s="61">
        <v>3</v>
      </c>
      <c r="AH92" s="61">
        <v>3</v>
      </c>
      <c r="AI92" s="61">
        <v>3</v>
      </c>
      <c r="AJ92" s="61">
        <v>4</v>
      </c>
      <c r="AK92" s="61">
        <v>4</v>
      </c>
      <c r="AL92" s="61">
        <v>4</v>
      </c>
      <c r="AM92" s="61">
        <v>5</v>
      </c>
      <c r="AN92" s="61">
        <v>5</v>
      </c>
      <c r="AO92" s="61">
        <v>6</v>
      </c>
      <c r="AP92" s="61">
        <v>6</v>
      </c>
      <c r="AQ92" s="61">
        <v>7</v>
      </c>
      <c r="AR92" s="61">
        <v>7</v>
      </c>
      <c r="AS92" s="61">
        <v>7</v>
      </c>
      <c r="AT92" s="61">
        <v>8</v>
      </c>
      <c r="AU92" s="61">
        <v>8</v>
      </c>
      <c r="AV92" s="61">
        <v>8</v>
      </c>
      <c r="AW92" s="61">
        <v>9</v>
      </c>
      <c r="AX92" s="61">
        <v>9</v>
      </c>
      <c r="AY92" s="60">
        <v>10</v>
      </c>
      <c r="AZ92" s="60">
        <v>10</v>
      </c>
      <c r="BA92" s="60">
        <v>10</v>
      </c>
      <c r="BB92" s="60">
        <v>10</v>
      </c>
      <c r="BC92" s="60">
        <v>10</v>
      </c>
      <c r="BD92" s="60">
        <v>10</v>
      </c>
    </row>
    <row r="93" spans="18:56" ht="12" x14ac:dyDescent="0.15">
      <c r="R93" s="17"/>
      <c r="Y93" s="59" t="s">
        <v>84</v>
      </c>
      <c r="Z93" s="60">
        <v>0</v>
      </c>
      <c r="AA93" s="60">
        <v>1</v>
      </c>
      <c r="AB93" s="60">
        <v>1</v>
      </c>
      <c r="AC93" s="61">
        <v>2</v>
      </c>
      <c r="AD93" s="61">
        <v>2</v>
      </c>
      <c r="AE93" s="61">
        <v>2</v>
      </c>
      <c r="AF93" s="61">
        <v>3</v>
      </c>
      <c r="AG93" s="61">
        <v>3</v>
      </c>
      <c r="AH93" s="61">
        <v>4</v>
      </c>
      <c r="AI93" s="61">
        <v>4</v>
      </c>
      <c r="AJ93" s="61">
        <v>4</v>
      </c>
      <c r="AK93" s="61">
        <v>4</v>
      </c>
      <c r="AL93" s="61">
        <v>5</v>
      </c>
      <c r="AM93" s="61">
        <v>5</v>
      </c>
      <c r="AN93" s="61">
        <v>5</v>
      </c>
      <c r="AO93" s="61">
        <v>6</v>
      </c>
      <c r="AP93" s="61">
        <v>6</v>
      </c>
      <c r="AQ93" s="61">
        <v>7</v>
      </c>
      <c r="AR93" s="61">
        <v>7</v>
      </c>
      <c r="AS93" s="61">
        <v>7</v>
      </c>
      <c r="AT93" s="61">
        <v>7</v>
      </c>
      <c r="AU93" s="61">
        <v>7</v>
      </c>
      <c r="AV93" s="61">
        <v>7</v>
      </c>
      <c r="AW93" s="61">
        <v>8</v>
      </c>
      <c r="AX93" s="61">
        <v>8</v>
      </c>
      <c r="AY93" s="61">
        <v>9</v>
      </c>
      <c r="AZ93" s="61">
        <v>9</v>
      </c>
      <c r="BA93" s="61">
        <v>9</v>
      </c>
      <c r="BB93" s="60">
        <v>10</v>
      </c>
      <c r="BC93" s="60">
        <v>10</v>
      </c>
      <c r="BD93" s="60">
        <v>10</v>
      </c>
    </row>
    <row r="94" spans="18:56" ht="12" x14ac:dyDescent="0.15">
      <c r="Y94" s="59" t="s">
        <v>85</v>
      </c>
      <c r="Z94" s="60">
        <v>0</v>
      </c>
      <c r="AA94" s="60">
        <v>1</v>
      </c>
      <c r="AB94" s="60">
        <v>1</v>
      </c>
      <c r="AC94" s="60">
        <v>1</v>
      </c>
      <c r="AD94" s="61">
        <v>2</v>
      </c>
      <c r="AE94" s="61">
        <v>2</v>
      </c>
      <c r="AF94" s="61">
        <v>2</v>
      </c>
      <c r="AG94" s="61">
        <v>2</v>
      </c>
      <c r="AH94" s="61">
        <v>3</v>
      </c>
      <c r="AI94" s="61">
        <v>3</v>
      </c>
      <c r="AJ94" s="61">
        <v>4</v>
      </c>
      <c r="AK94" s="61">
        <v>5</v>
      </c>
      <c r="AL94" s="61">
        <v>5</v>
      </c>
      <c r="AM94" s="61">
        <v>6</v>
      </c>
      <c r="AN94" s="61">
        <v>6</v>
      </c>
      <c r="AO94" s="61">
        <v>6</v>
      </c>
      <c r="AP94" s="61">
        <v>6</v>
      </c>
      <c r="AQ94" s="61">
        <v>6</v>
      </c>
      <c r="AR94" s="61">
        <v>7</v>
      </c>
      <c r="AS94" s="61">
        <v>7</v>
      </c>
      <c r="AT94" s="61">
        <v>7</v>
      </c>
      <c r="AU94" s="61">
        <v>7</v>
      </c>
      <c r="AV94" s="61">
        <v>7</v>
      </c>
      <c r="AW94" s="61">
        <v>8</v>
      </c>
      <c r="AX94" s="61">
        <v>8</v>
      </c>
      <c r="AY94" s="61">
        <v>8</v>
      </c>
      <c r="AZ94" s="61">
        <v>9</v>
      </c>
      <c r="BA94" s="61">
        <v>9</v>
      </c>
      <c r="BB94" s="60">
        <v>10</v>
      </c>
      <c r="BC94" s="60">
        <v>10</v>
      </c>
      <c r="BD94" s="60">
        <v>10</v>
      </c>
    </row>
    <row r="95" spans="18:56" ht="12" x14ac:dyDescent="0.15">
      <c r="Y95" s="59" t="s">
        <v>86</v>
      </c>
      <c r="Z95" s="60">
        <v>0</v>
      </c>
      <c r="AA95" s="60">
        <v>1</v>
      </c>
      <c r="AB95" s="60">
        <v>1</v>
      </c>
      <c r="AC95" s="60">
        <v>1</v>
      </c>
      <c r="AD95" s="60">
        <v>1</v>
      </c>
      <c r="AE95" s="61">
        <v>2</v>
      </c>
      <c r="AF95" s="61">
        <v>2</v>
      </c>
      <c r="AG95" s="61">
        <v>3</v>
      </c>
      <c r="AH95" s="61">
        <v>4</v>
      </c>
      <c r="AI95" s="61">
        <v>4</v>
      </c>
      <c r="AJ95" s="61">
        <v>5</v>
      </c>
      <c r="AK95" s="61">
        <v>5</v>
      </c>
      <c r="AL95" s="61">
        <v>6</v>
      </c>
      <c r="AM95" s="61">
        <v>6</v>
      </c>
      <c r="AN95" s="61">
        <v>6</v>
      </c>
      <c r="AO95" s="61">
        <v>7</v>
      </c>
      <c r="AP95" s="61">
        <v>7</v>
      </c>
      <c r="AQ95" s="61">
        <v>7</v>
      </c>
      <c r="AR95" s="61">
        <v>8</v>
      </c>
      <c r="AS95" s="61">
        <v>8</v>
      </c>
      <c r="AT95" s="61">
        <v>9</v>
      </c>
      <c r="AU95" s="61">
        <v>9</v>
      </c>
      <c r="AV95" s="61">
        <v>9</v>
      </c>
      <c r="AW95" s="61">
        <v>9</v>
      </c>
      <c r="AX95" s="61">
        <v>9</v>
      </c>
      <c r="AY95" s="61">
        <v>9</v>
      </c>
      <c r="AZ95" s="61">
        <v>9</v>
      </c>
      <c r="BA95" s="61">
        <v>9</v>
      </c>
      <c r="BB95" s="60">
        <v>10</v>
      </c>
      <c r="BC95" s="60">
        <v>10</v>
      </c>
      <c r="BD95" s="60">
        <v>10</v>
      </c>
    </row>
  </sheetData>
  <dataValidations count="2">
    <dataValidation type="list" allowBlank="1" showInputMessage="1" showErrorMessage="1" sqref="Z7:Z21" xr:uid="{00000000-0002-0000-0500-000000000000}">
      <formula1>$Z$25:$AZ$25</formula1>
    </dataValidation>
    <dataValidation type="list" allowBlank="1" showInputMessage="1" showErrorMessage="1" sqref="I6" xr:uid="{00000000-0002-0000-0500-000001000000}">
      <formula1>$R$10:$R$14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Report">
                <anchor moveWithCells="1" sizeWithCells="1">
                  <from>
                    <xdr:col>1</xdr:col>
                    <xdr:colOff>47625</xdr:colOff>
                    <xdr:row>2</xdr:row>
                    <xdr:rowOff>47625</xdr:rowOff>
                  </from>
                  <to>
                    <xdr:col>1</xdr:col>
                    <xdr:colOff>1409700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531"/>
  <sheetViews>
    <sheetView topLeftCell="B454" zoomScale="126" zoomScaleNormal="126" workbookViewId="0">
      <selection activeCell="D502" sqref="D502"/>
    </sheetView>
  </sheetViews>
  <sheetFormatPr defaultColWidth="26.140625" defaultRowHeight="15" x14ac:dyDescent="0.25"/>
  <cols>
    <col min="1" max="1" width="41" style="53" customWidth="1"/>
    <col min="2" max="2" width="26.140625" style="53"/>
    <col min="3" max="3" width="11.28515625" style="57" customWidth="1"/>
    <col min="4" max="4" width="75.140625" style="53" customWidth="1"/>
    <col min="5" max="16384" width="26.140625" style="53"/>
  </cols>
  <sheetData>
    <row r="1" spans="1:6" ht="15.75" thickBot="1" x14ac:dyDescent="0.3">
      <c r="A1" s="53" t="s">
        <v>195</v>
      </c>
      <c r="B1" s="53" t="s">
        <v>196</v>
      </c>
      <c r="C1" s="57" t="s">
        <v>197</v>
      </c>
      <c r="D1" s="53" t="s">
        <v>198</v>
      </c>
    </row>
    <row r="2" spans="1:6" ht="23.25" thickBot="1" x14ac:dyDescent="0.3">
      <c r="A2" s="54" t="s">
        <v>90</v>
      </c>
      <c r="B2" s="54" t="s">
        <v>91</v>
      </c>
      <c r="C2" s="55">
        <v>1</v>
      </c>
      <c r="D2" s="54" t="s">
        <v>92</v>
      </c>
      <c r="E2" s="53">
        <f>IF(LEN(D2)&lt;170,0,1)</f>
        <v>0</v>
      </c>
      <c r="F2" s="53">
        <f>LEN(D2)</f>
        <v>111</v>
      </c>
    </row>
    <row r="3" spans="1:6" ht="23.25" thickBot="1" x14ac:dyDescent="0.3">
      <c r="A3" s="54" t="s">
        <v>90</v>
      </c>
      <c r="B3" s="54" t="s">
        <v>91</v>
      </c>
      <c r="C3" s="55">
        <v>2</v>
      </c>
      <c r="D3" s="54" t="s">
        <v>93</v>
      </c>
      <c r="E3" s="53">
        <f t="shared" ref="E3:E66" si="0">IF(LEN(D3)&lt;170,0,1)</f>
        <v>0</v>
      </c>
      <c r="F3" s="53">
        <f t="shared" ref="F3:F66" si="1">LEN(D3)</f>
        <v>96</v>
      </c>
    </row>
    <row r="4" spans="1:6" ht="23.25" thickBot="1" x14ac:dyDescent="0.3">
      <c r="A4" s="54" t="s">
        <v>90</v>
      </c>
      <c r="B4" s="54" t="s">
        <v>91</v>
      </c>
      <c r="C4" s="55">
        <v>3</v>
      </c>
      <c r="D4" s="54" t="s">
        <v>93</v>
      </c>
      <c r="E4" s="53">
        <f t="shared" si="0"/>
        <v>0</v>
      </c>
      <c r="F4" s="53">
        <f t="shared" si="1"/>
        <v>96</v>
      </c>
    </row>
    <row r="5" spans="1:6" ht="23.25" thickBot="1" x14ac:dyDescent="0.3">
      <c r="A5" s="54" t="s">
        <v>90</v>
      </c>
      <c r="B5" s="54" t="s">
        <v>91</v>
      </c>
      <c r="C5" s="55">
        <v>4</v>
      </c>
      <c r="D5" s="54" t="s">
        <v>94</v>
      </c>
      <c r="E5" s="53">
        <f t="shared" si="0"/>
        <v>0</v>
      </c>
      <c r="F5" s="53">
        <f t="shared" si="1"/>
        <v>84</v>
      </c>
    </row>
    <row r="6" spans="1:6" ht="23.25" thickBot="1" x14ac:dyDescent="0.3">
      <c r="A6" s="54" t="s">
        <v>90</v>
      </c>
      <c r="B6" s="54" t="s">
        <v>91</v>
      </c>
      <c r="C6" s="55">
        <v>5</v>
      </c>
      <c r="D6" s="54" t="s">
        <v>95</v>
      </c>
      <c r="E6" s="53">
        <f t="shared" si="0"/>
        <v>0</v>
      </c>
      <c r="F6" s="53">
        <f t="shared" si="1"/>
        <v>98</v>
      </c>
    </row>
    <row r="7" spans="1:6" ht="23.25" thickBot="1" x14ac:dyDescent="0.3">
      <c r="A7" s="54" t="s">
        <v>90</v>
      </c>
      <c r="B7" s="54" t="s">
        <v>91</v>
      </c>
      <c r="C7" s="55">
        <v>6</v>
      </c>
      <c r="D7" s="54" t="s">
        <v>95</v>
      </c>
      <c r="E7" s="53">
        <f t="shared" si="0"/>
        <v>0</v>
      </c>
      <c r="F7" s="53">
        <f t="shared" si="1"/>
        <v>98</v>
      </c>
    </row>
    <row r="8" spans="1:6" ht="23.25" thickBot="1" x14ac:dyDescent="0.3">
      <c r="A8" s="54" t="s">
        <v>90</v>
      </c>
      <c r="B8" s="54" t="s">
        <v>91</v>
      </c>
      <c r="C8" s="55">
        <v>7</v>
      </c>
      <c r="D8" s="54" t="s">
        <v>96</v>
      </c>
      <c r="E8" s="53">
        <f t="shared" si="0"/>
        <v>0</v>
      </c>
      <c r="F8" s="53">
        <f t="shared" si="1"/>
        <v>90</v>
      </c>
    </row>
    <row r="9" spans="1:6" ht="23.25" thickBot="1" x14ac:dyDescent="0.3">
      <c r="A9" s="54" t="s">
        <v>90</v>
      </c>
      <c r="B9" s="54" t="s">
        <v>91</v>
      </c>
      <c r="C9" s="55">
        <v>8</v>
      </c>
      <c r="D9" s="54" t="s">
        <v>97</v>
      </c>
      <c r="E9" s="53">
        <f t="shared" si="0"/>
        <v>0</v>
      </c>
      <c r="F9" s="53">
        <f t="shared" si="1"/>
        <v>134</v>
      </c>
    </row>
    <row r="10" spans="1:6" ht="23.25" thickBot="1" x14ac:dyDescent="0.3">
      <c r="A10" s="54" t="s">
        <v>90</v>
      </c>
      <c r="B10" s="54" t="s">
        <v>91</v>
      </c>
      <c r="C10" s="55">
        <v>9</v>
      </c>
      <c r="D10" s="54" t="s">
        <v>98</v>
      </c>
      <c r="E10" s="53">
        <f t="shared" si="0"/>
        <v>0</v>
      </c>
      <c r="F10" s="53">
        <f t="shared" si="1"/>
        <v>135</v>
      </c>
    </row>
    <row r="11" spans="1:6" ht="23.25" thickBot="1" x14ac:dyDescent="0.3">
      <c r="A11" s="54" t="s">
        <v>90</v>
      </c>
      <c r="B11" s="54" t="s">
        <v>91</v>
      </c>
      <c r="C11" s="55">
        <v>10</v>
      </c>
      <c r="D11" s="54" t="s">
        <v>98</v>
      </c>
      <c r="E11" s="53">
        <f t="shared" si="0"/>
        <v>0</v>
      </c>
      <c r="F11" s="53">
        <f t="shared" si="1"/>
        <v>135</v>
      </c>
    </row>
    <row r="12" spans="1:6" ht="23.25" thickBot="1" x14ac:dyDescent="0.3">
      <c r="A12" s="54" t="s">
        <v>90</v>
      </c>
      <c r="B12" s="54" t="s">
        <v>99</v>
      </c>
      <c r="C12" s="55">
        <v>1</v>
      </c>
      <c r="D12" s="58" t="s">
        <v>827</v>
      </c>
      <c r="E12" s="53">
        <f t="shared" si="0"/>
        <v>0</v>
      </c>
      <c r="F12" s="53">
        <f t="shared" si="1"/>
        <v>103</v>
      </c>
    </row>
    <row r="13" spans="1:6" ht="23.25" thickBot="1" x14ac:dyDescent="0.3">
      <c r="A13" s="54" t="s">
        <v>90</v>
      </c>
      <c r="B13" s="54" t="s">
        <v>99</v>
      </c>
      <c r="C13" s="55">
        <v>2</v>
      </c>
      <c r="D13" s="58" t="s">
        <v>827</v>
      </c>
      <c r="E13" s="53">
        <f t="shared" si="0"/>
        <v>0</v>
      </c>
      <c r="F13" s="53">
        <f t="shared" si="1"/>
        <v>103</v>
      </c>
    </row>
    <row r="14" spans="1:6" ht="23.25" thickBot="1" x14ac:dyDescent="0.3">
      <c r="A14" s="54" t="s">
        <v>90</v>
      </c>
      <c r="B14" s="54" t="s">
        <v>99</v>
      </c>
      <c r="C14" s="55">
        <v>3</v>
      </c>
      <c r="D14" s="58" t="s">
        <v>827</v>
      </c>
      <c r="E14" s="53">
        <f t="shared" si="0"/>
        <v>0</v>
      </c>
      <c r="F14" s="53">
        <f t="shared" si="1"/>
        <v>103</v>
      </c>
    </row>
    <row r="15" spans="1:6" ht="23.25" thickBot="1" x14ac:dyDescent="0.3">
      <c r="A15" s="54" t="s">
        <v>90</v>
      </c>
      <c r="B15" s="54" t="s">
        <v>99</v>
      </c>
      <c r="C15" s="55">
        <v>4</v>
      </c>
      <c r="D15" s="58" t="s">
        <v>827</v>
      </c>
      <c r="E15" s="53">
        <f t="shared" si="0"/>
        <v>0</v>
      </c>
      <c r="F15" s="53">
        <f t="shared" si="1"/>
        <v>103</v>
      </c>
    </row>
    <row r="16" spans="1:6" ht="23.25" thickBot="1" x14ac:dyDescent="0.3">
      <c r="A16" s="54" t="s">
        <v>90</v>
      </c>
      <c r="B16" s="54" t="s">
        <v>99</v>
      </c>
      <c r="C16" s="55">
        <v>5</v>
      </c>
      <c r="D16" s="54" t="s">
        <v>100</v>
      </c>
      <c r="E16" s="53">
        <f t="shared" si="0"/>
        <v>0</v>
      </c>
      <c r="F16" s="53">
        <f t="shared" si="1"/>
        <v>84</v>
      </c>
    </row>
    <row r="17" spans="1:6" ht="23.25" thickBot="1" x14ac:dyDescent="0.3">
      <c r="A17" s="54" t="s">
        <v>90</v>
      </c>
      <c r="B17" s="54" t="s">
        <v>99</v>
      </c>
      <c r="C17" s="55">
        <v>6</v>
      </c>
      <c r="D17" s="54" t="s">
        <v>100</v>
      </c>
      <c r="E17" s="53">
        <f t="shared" si="0"/>
        <v>0</v>
      </c>
      <c r="F17" s="53">
        <f t="shared" si="1"/>
        <v>84</v>
      </c>
    </row>
    <row r="18" spans="1:6" ht="23.25" thickBot="1" x14ac:dyDescent="0.3">
      <c r="A18" s="54" t="s">
        <v>90</v>
      </c>
      <c r="B18" s="54" t="s">
        <v>99</v>
      </c>
      <c r="C18" s="55">
        <v>7</v>
      </c>
      <c r="D18" s="54" t="s">
        <v>101</v>
      </c>
      <c r="E18" s="53">
        <f t="shared" si="0"/>
        <v>0</v>
      </c>
      <c r="F18" s="53">
        <f t="shared" si="1"/>
        <v>138</v>
      </c>
    </row>
    <row r="19" spans="1:6" ht="23.25" thickBot="1" x14ac:dyDescent="0.3">
      <c r="A19" s="54" t="s">
        <v>90</v>
      </c>
      <c r="B19" s="54" t="s">
        <v>99</v>
      </c>
      <c r="C19" s="55">
        <v>8</v>
      </c>
      <c r="D19" s="54" t="s">
        <v>102</v>
      </c>
      <c r="E19" s="53">
        <f t="shared" si="0"/>
        <v>0</v>
      </c>
      <c r="F19" s="53">
        <f t="shared" si="1"/>
        <v>112</v>
      </c>
    </row>
    <row r="20" spans="1:6" ht="23.25" thickBot="1" x14ac:dyDescent="0.3">
      <c r="A20" s="54" t="s">
        <v>90</v>
      </c>
      <c r="B20" s="54" t="s">
        <v>99</v>
      </c>
      <c r="C20" s="55">
        <v>9</v>
      </c>
      <c r="D20" s="54" t="s">
        <v>102</v>
      </c>
      <c r="E20" s="53">
        <f t="shared" si="0"/>
        <v>0</v>
      </c>
      <c r="F20" s="53">
        <f t="shared" si="1"/>
        <v>112</v>
      </c>
    </row>
    <row r="21" spans="1:6" ht="23.25" thickBot="1" x14ac:dyDescent="0.3">
      <c r="A21" s="54" t="s">
        <v>90</v>
      </c>
      <c r="B21" s="54" t="s">
        <v>99</v>
      </c>
      <c r="C21" s="55">
        <v>10</v>
      </c>
      <c r="D21" s="54" t="s">
        <v>102</v>
      </c>
      <c r="E21" s="53">
        <f t="shared" si="0"/>
        <v>0</v>
      </c>
      <c r="F21" s="53">
        <f t="shared" si="1"/>
        <v>112</v>
      </c>
    </row>
    <row r="22" spans="1:6" ht="23.25" thickBot="1" x14ac:dyDescent="0.3">
      <c r="A22" s="54" t="s">
        <v>90</v>
      </c>
      <c r="B22" s="54" t="s">
        <v>80</v>
      </c>
      <c r="C22" s="55">
        <v>1</v>
      </c>
      <c r="D22" s="58" t="s">
        <v>764</v>
      </c>
      <c r="E22" s="53">
        <f t="shared" si="0"/>
        <v>0</v>
      </c>
      <c r="F22" s="53">
        <f t="shared" si="1"/>
        <v>82</v>
      </c>
    </row>
    <row r="23" spans="1:6" ht="23.25" thickBot="1" x14ac:dyDescent="0.3">
      <c r="A23" s="54" t="s">
        <v>90</v>
      </c>
      <c r="B23" s="54" t="s">
        <v>80</v>
      </c>
      <c r="C23" s="55">
        <v>2</v>
      </c>
      <c r="D23" s="58" t="s">
        <v>764</v>
      </c>
      <c r="E23" s="53">
        <f t="shared" si="0"/>
        <v>0</v>
      </c>
      <c r="F23" s="53">
        <f t="shared" si="1"/>
        <v>82</v>
      </c>
    </row>
    <row r="24" spans="1:6" ht="23.25" thickBot="1" x14ac:dyDescent="0.3">
      <c r="A24" s="54" t="s">
        <v>90</v>
      </c>
      <c r="B24" s="54" t="s">
        <v>80</v>
      </c>
      <c r="C24" s="55">
        <v>3</v>
      </c>
      <c r="D24" s="58" t="s">
        <v>764</v>
      </c>
      <c r="E24" s="53">
        <f t="shared" si="0"/>
        <v>0</v>
      </c>
      <c r="F24" s="53">
        <f t="shared" si="1"/>
        <v>82</v>
      </c>
    </row>
    <row r="25" spans="1:6" ht="23.25" thickBot="1" x14ac:dyDescent="0.3">
      <c r="A25" s="54" t="s">
        <v>90</v>
      </c>
      <c r="B25" s="54" t="s">
        <v>80</v>
      </c>
      <c r="C25" s="55">
        <v>4</v>
      </c>
      <c r="D25" s="58" t="s">
        <v>764</v>
      </c>
      <c r="E25" s="53">
        <f t="shared" si="0"/>
        <v>0</v>
      </c>
      <c r="F25" s="53">
        <f t="shared" si="1"/>
        <v>82</v>
      </c>
    </row>
    <row r="26" spans="1:6" ht="23.25" thickBot="1" x14ac:dyDescent="0.3">
      <c r="A26" s="54" t="s">
        <v>90</v>
      </c>
      <c r="B26" s="54" t="s">
        <v>80</v>
      </c>
      <c r="C26" s="55">
        <v>5</v>
      </c>
      <c r="D26" s="54" t="s">
        <v>103</v>
      </c>
      <c r="E26" s="53">
        <f t="shared" si="0"/>
        <v>0</v>
      </c>
      <c r="F26" s="53">
        <f t="shared" si="1"/>
        <v>106</v>
      </c>
    </row>
    <row r="27" spans="1:6" ht="23.25" thickBot="1" x14ac:dyDescent="0.3">
      <c r="A27" s="54" t="s">
        <v>90</v>
      </c>
      <c r="B27" s="54" t="s">
        <v>80</v>
      </c>
      <c r="C27" s="55">
        <v>6</v>
      </c>
      <c r="D27" s="54" t="s">
        <v>104</v>
      </c>
      <c r="E27" s="53">
        <f t="shared" si="0"/>
        <v>0</v>
      </c>
      <c r="F27" s="53">
        <f t="shared" si="1"/>
        <v>103</v>
      </c>
    </row>
    <row r="28" spans="1:6" ht="23.25" thickBot="1" x14ac:dyDescent="0.3">
      <c r="A28" s="54" t="s">
        <v>90</v>
      </c>
      <c r="B28" s="54" t="s">
        <v>80</v>
      </c>
      <c r="C28" s="55">
        <v>7</v>
      </c>
      <c r="D28" s="54" t="s">
        <v>105</v>
      </c>
      <c r="E28" s="53">
        <f t="shared" si="0"/>
        <v>0</v>
      </c>
      <c r="F28" s="53">
        <f t="shared" si="1"/>
        <v>49</v>
      </c>
    </row>
    <row r="29" spans="1:6" ht="23.25" thickBot="1" x14ac:dyDescent="0.3">
      <c r="A29" s="54" t="s">
        <v>90</v>
      </c>
      <c r="B29" s="54" t="s">
        <v>80</v>
      </c>
      <c r="C29" s="55">
        <v>8</v>
      </c>
      <c r="D29" s="54" t="s">
        <v>202</v>
      </c>
      <c r="E29" s="53">
        <f t="shared" si="0"/>
        <v>0</v>
      </c>
      <c r="F29" s="53">
        <f t="shared" si="1"/>
        <v>90</v>
      </c>
    </row>
    <row r="30" spans="1:6" ht="23.25" thickBot="1" x14ac:dyDescent="0.3">
      <c r="A30" s="54" t="s">
        <v>90</v>
      </c>
      <c r="B30" s="54" t="s">
        <v>80</v>
      </c>
      <c r="C30" s="55">
        <v>9</v>
      </c>
      <c r="D30" s="54" t="s">
        <v>202</v>
      </c>
      <c r="E30" s="53">
        <f t="shared" si="0"/>
        <v>0</v>
      </c>
      <c r="F30" s="53">
        <f t="shared" si="1"/>
        <v>90</v>
      </c>
    </row>
    <row r="31" spans="1:6" ht="23.25" thickBot="1" x14ac:dyDescent="0.3">
      <c r="A31" s="54" t="s">
        <v>90</v>
      </c>
      <c r="B31" s="54" t="s">
        <v>80</v>
      </c>
      <c r="C31" s="55">
        <v>10</v>
      </c>
      <c r="D31" s="54" t="s">
        <v>202</v>
      </c>
      <c r="E31" s="53">
        <f t="shared" si="0"/>
        <v>0</v>
      </c>
      <c r="F31" s="53">
        <f t="shared" si="1"/>
        <v>90</v>
      </c>
    </row>
    <row r="32" spans="1:6" ht="23.25" thickBot="1" x14ac:dyDescent="0.3">
      <c r="A32" s="54" t="s">
        <v>90</v>
      </c>
      <c r="B32" s="54" t="s">
        <v>106</v>
      </c>
      <c r="C32" s="55">
        <v>1</v>
      </c>
      <c r="D32" s="54" t="s">
        <v>107</v>
      </c>
      <c r="E32" s="53">
        <f t="shared" si="0"/>
        <v>0</v>
      </c>
      <c r="F32" s="53">
        <f t="shared" si="1"/>
        <v>116</v>
      </c>
    </row>
    <row r="33" spans="1:6" ht="23.25" thickBot="1" x14ac:dyDescent="0.3">
      <c r="A33" s="54" t="s">
        <v>90</v>
      </c>
      <c r="B33" s="54" t="s">
        <v>106</v>
      </c>
      <c r="C33" s="55">
        <v>2</v>
      </c>
      <c r="D33" s="54" t="s">
        <v>107</v>
      </c>
      <c r="E33" s="53">
        <f t="shared" si="0"/>
        <v>0</v>
      </c>
      <c r="F33" s="53">
        <f t="shared" si="1"/>
        <v>116</v>
      </c>
    </row>
    <row r="34" spans="1:6" ht="23.25" thickBot="1" x14ac:dyDescent="0.3">
      <c r="A34" s="54" t="s">
        <v>90</v>
      </c>
      <c r="B34" s="54" t="s">
        <v>106</v>
      </c>
      <c r="C34" s="55">
        <v>3</v>
      </c>
      <c r="D34" s="54" t="s">
        <v>107</v>
      </c>
      <c r="E34" s="53">
        <f t="shared" si="0"/>
        <v>0</v>
      </c>
      <c r="F34" s="53">
        <f t="shared" si="1"/>
        <v>116</v>
      </c>
    </row>
    <row r="35" spans="1:6" ht="23.25" thickBot="1" x14ac:dyDescent="0.3">
      <c r="A35" s="54" t="s">
        <v>90</v>
      </c>
      <c r="B35" s="54" t="s">
        <v>106</v>
      </c>
      <c r="C35" s="55">
        <v>4</v>
      </c>
      <c r="D35" s="54" t="s">
        <v>108</v>
      </c>
      <c r="E35" s="53">
        <f t="shared" si="0"/>
        <v>0</v>
      </c>
      <c r="F35" s="53">
        <f t="shared" si="1"/>
        <v>80</v>
      </c>
    </row>
    <row r="36" spans="1:6" ht="23.25" thickBot="1" x14ac:dyDescent="0.3">
      <c r="A36" s="54" t="s">
        <v>90</v>
      </c>
      <c r="B36" s="54" t="s">
        <v>106</v>
      </c>
      <c r="C36" s="55">
        <v>5</v>
      </c>
      <c r="D36" s="54" t="s">
        <v>109</v>
      </c>
      <c r="E36" s="53">
        <f t="shared" si="0"/>
        <v>0</v>
      </c>
      <c r="F36" s="53">
        <f t="shared" si="1"/>
        <v>78</v>
      </c>
    </row>
    <row r="37" spans="1:6" ht="23.25" thickBot="1" x14ac:dyDescent="0.3">
      <c r="A37" s="54" t="s">
        <v>90</v>
      </c>
      <c r="B37" s="54" t="s">
        <v>106</v>
      </c>
      <c r="C37" s="55">
        <v>6</v>
      </c>
      <c r="D37" s="54" t="s">
        <v>109</v>
      </c>
      <c r="E37" s="53">
        <f t="shared" si="0"/>
        <v>0</v>
      </c>
      <c r="F37" s="53">
        <f t="shared" si="1"/>
        <v>78</v>
      </c>
    </row>
    <row r="38" spans="1:6" ht="23.25" thickBot="1" x14ac:dyDescent="0.3">
      <c r="A38" s="54" t="s">
        <v>90</v>
      </c>
      <c r="B38" s="54" t="s">
        <v>106</v>
      </c>
      <c r="C38" s="55">
        <v>7</v>
      </c>
      <c r="D38" s="54" t="s">
        <v>110</v>
      </c>
      <c r="E38" s="53">
        <f t="shared" si="0"/>
        <v>0</v>
      </c>
      <c r="F38" s="53">
        <f t="shared" si="1"/>
        <v>73</v>
      </c>
    </row>
    <row r="39" spans="1:6" ht="23.25" thickBot="1" x14ac:dyDescent="0.3">
      <c r="A39" s="54" t="s">
        <v>90</v>
      </c>
      <c r="B39" s="54" t="s">
        <v>106</v>
      </c>
      <c r="C39" s="55">
        <v>8</v>
      </c>
      <c r="D39" s="54" t="s">
        <v>765</v>
      </c>
      <c r="E39" s="53">
        <f t="shared" si="0"/>
        <v>0</v>
      </c>
      <c r="F39" s="53">
        <f t="shared" si="1"/>
        <v>95</v>
      </c>
    </row>
    <row r="40" spans="1:6" ht="23.25" thickBot="1" x14ac:dyDescent="0.3">
      <c r="A40" s="54" t="s">
        <v>90</v>
      </c>
      <c r="B40" s="54" t="s">
        <v>106</v>
      </c>
      <c r="C40" s="55">
        <v>9</v>
      </c>
      <c r="D40" s="54" t="s">
        <v>765</v>
      </c>
      <c r="E40" s="53">
        <f t="shared" si="0"/>
        <v>0</v>
      </c>
      <c r="F40" s="53">
        <f t="shared" si="1"/>
        <v>95</v>
      </c>
    </row>
    <row r="41" spans="1:6" ht="23.25" thickBot="1" x14ac:dyDescent="0.3">
      <c r="A41" s="54" t="s">
        <v>90</v>
      </c>
      <c r="B41" s="54" t="s">
        <v>106</v>
      </c>
      <c r="C41" s="55">
        <v>10</v>
      </c>
      <c r="D41" s="54" t="s">
        <v>765</v>
      </c>
      <c r="E41" s="53">
        <f t="shared" si="0"/>
        <v>0</v>
      </c>
      <c r="F41" s="53">
        <f t="shared" si="1"/>
        <v>95</v>
      </c>
    </row>
    <row r="42" spans="1:6" ht="23.25" thickBot="1" x14ac:dyDescent="0.3">
      <c r="A42" s="54" t="s">
        <v>90</v>
      </c>
      <c r="B42" s="54" t="s">
        <v>75</v>
      </c>
      <c r="C42" s="55">
        <v>1</v>
      </c>
      <c r="D42" s="54" t="s">
        <v>818</v>
      </c>
      <c r="E42" s="53">
        <f t="shared" si="0"/>
        <v>0</v>
      </c>
      <c r="F42" s="53">
        <f t="shared" si="1"/>
        <v>101</v>
      </c>
    </row>
    <row r="43" spans="1:6" ht="23.25" thickBot="1" x14ac:dyDescent="0.3">
      <c r="A43" s="54" t="s">
        <v>90</v>
      </c>
      <c r="B43" s="54" t="s">
        <v>75</v>
      </c>
      <c r="C43" s="55">
        <v>2</v>
      </c>
      <c r="D43" s="54" t="s">
        <v>818</v>
      </c>
      <c r="E43" s="53">
        <f t="shared" si="0"/>
        <v>0</v>
      </c>
      <c r="F43" s="53">
        <f t="shared" si="1"/>
        <v>101</v>
      </c>
    </row>
    <row r="44" spans="1:6" ht="23.25" thickBot="1" x14ac:dyDescent="0.3">
      <c r="A44" s="54" t="s">
        <v>90</v>
      </c>
      <c r="B44" s="54" t="s">
        <v>75</v>
      </c>
      <c r="C44" s="55">
        <v>3</v>
      </c>
      <c r="D44" s="54" t="s">
        <v>818</v>
      </c>
      <c r="E44" s="53">
        <f t="shared" si="0"/>
        <v>0</v>
      </c>
      <c r="F44" s="53">
        <f t="shared" si="1"/>
        <v>101</v>
      </c>
    </row>
    <row r="45" spans="1:6" ht="23.25" thickBot="1" x14ac:dyDescent="0.3">
      <c r="A45" s="54" t="s">
        <v>90</v>
      </c>
      <c r="B45" s="54" t="s">
        <v>75</v>
      </c>
      <c r="C45" s="55">
        <v>4</v>
      </c>
      <c r="D45" s="54" t="s">
        <v>819</v>
      </c>
      <c r="E45" s="53">
        <f t="shared" si="0"/>
        <v>0</v>
      </c>
      <c r="F45" s="53">
        <f t="shared" si="1"/>
        <v>60</v>
      </c>
    </row>
    <row r="46" spans="1:6" ht="23.25" thickBot="1" x14ac:dyDescent="0.3">
      <c r="A46" s="54" t="s">
        <v>90</v>
      </c>
      <c r="B46" s="54" t="s">
        <v>75</v>
      </c>
      <c r="C46" s="55">
        <v>5</v>
      </c>
      <c r="D46" s="54" t="s">
        <v>820</v>
      </c>
      <c r="E46" s="53">
        <f t="shared" si="0"/>
        <v>0</v>
      </c>
      <c r="F46" s="53">
        <f t="shared" si="1"/>
        <v>64</v>
      </c>
    </row>
    <row r="47" spans="1:6" ht="23.25" thickBot="1" x14ac:dyDescent="0.3">
      <c r="A47" s="54" t="s">
        <v>90</v>
      </c>
      <c r="B47" s="54" t="s">
        <v>75</v>
      </c>
      <c r="C47" s="55">
        <v>6</v>
      </c>
      <c r="D47" s="54" t="s">
        <v>820</v>
      </c>
      <c r="E47" s="53">
        <f t="shared" si="0"/>
        <v>0</v>
      </c>
      <c r="F47" s="53">
        <f t="shared" si="1"/>
        <v>64</v>
      </c>
    </row>
    <row r="48" spans="1:6" ht="23.25" thickBot="1" x14ac:dyDescent="0.3">
      <c r="A48" s="54" t="s">
        <v>90</v>
      </c>
      <c r="B48" s="54" t="s">
        <v>75</v>
      </c>
      <c r="C48" s="55">
        <v>7</v>
      </c>
      <c r="D48" s="54" t="s">
        <v>821</v>
      </c>
      <c r="E48" s="53">
        <f t="shared" si="0"/>
        <v>0</v>
      </c>
      <c r="F48" s="53">
        <f t="shared" si="1"/>
        <v>73</v>
      </c>
    </row>
    <row r="49" spans="1:6" ht="23.25" thickBot="1" x14ac:dyDescent="0.3">
      <c r="A49" s="54" t="s">
        <v>90</v>
      </c>
      <c r="B49" s="54" t="s">
        <v>75</v>
      </c>
      <c r="C49" s="55">
        <v>8</v>
      </c>
      <c r="D49" s="54" t="s">
        <v>821</v>
      </c>
      <c r="E49" s="53">
        <f t="shared" si="0"/>
        <v>0</v>
      </c>
      <c r="F49" s="53">
        <f t="shared" si="1"/>
        <v>73</v>
      </c>
    </row>
    <row r="50" spans="1:6" ht="23.25" thickBot="1" x14ac:dyDescent="0.3">
      <c r="A50" s="54" t="s">
        <v>90</v>
      </c>
      <c r="B50" s="54" t="s">
        <v>75</v>
      </c>
      <c r="C50" s="55">
        <v>9</v>
      </c>
      <c r="D50" s="54" t="s">
        <v>821</v>
      </c>
      <c r="E50" s="53">
        <f t="shared" si="0"/>
        <v>0</v>
      </c>
      <c r="F50" s="53">
        <f t="shared" si="1"/>
        <v>73</v>
      </c>
    </row>
    <row r="51" spans="1:6" ht="23.25" thickBot="1" x14ac:dyDescent="0.3">
      <c r="A51" s="54" t="s">
        <v>90</v>
      </c>
      <c r="B51" s="54" t="s">
        <v>75</v>
      </c>
      <c r="C51" s="55">
        <v>10</v>
      </c>
      <c r="D51" s="54" t="s">
        <v>821</v>
      </c>
      <c r="E51" s="53">
        <f t="shared" si="0"/>
        <v>0</v>
      </c>
      <c r="F51" s="53">
        <f t="shared" si="1"/>
        <v>73</v>
      </c>
    </row>
    <row r="52" spans="1:6" ht="23.25" thickBot="1" x14ac:dyDescent="0.3">
      <c r="A52" s="54" t="s">
        <v>90</v>
      </c>
      <c r="B52" s="54" t="s">
        <v>111</v>
      </c>
      <c r="C52" s="55">
        <v>1</v>
      </c>
      <c r="D52" s="54" t="s">
        <v>828</v>
      </c>
      <c r="E52" s="53">
        <f t="shared" si="0"/>
        <v>0</v>
      </c>
      <c r="F52" s="53">
        <f t="shared" si="1"/>
        <v>59</v>
      </c>
    </row>
    <row r="53" spans="1:6" ht="23.25" thickBot="1" x14ac:dyDescent="0.3">
      <c r="A53" s="54" t="s">
        <v>90</v>
      </c>
      <c r="B53" s="54" t="s">
        <v>111</v>
      </c>
      <c r="C53" s="55">
        <v>2</v>
      </c>
      <c r="D53" s="54" t="s">
        <v>828</v>
      </c>
      <c r="E53" s="53">
        <f t="shared" si="0"/>
        <v>0</v>
      </c>
      <c r="F53" s="53">
        <f t="shared" si="1"/>
        <v>59</v>
      </c>
    </row>
    <row r="54" spans="1:6" ht="23.25" thickBot="1" x14ac:dyDescent="0.3">
      <c r="A54" s="54" t="s">
        <v>90</v>
      </c>
      <c r="B54" s="54" t="s">
        <v>111</v>
      </c>
      <c r="C54" s="55">
        <v>3</v>
      </c>
      <c r="D54" s="54" t="s">
        <v>828</v>
      </c>
      <c r="E54" s="53">
        <f t="shared" si="0"/>
        <v>0</v>
      </c>
      <c r="F54" s="53">
        <f t="shared" si="1"/>
        <v>59</v>
      </c>
    </row>
    <row r="55" spans="1:6" ht="23.25" thickBot="1" x14ac:dyDescent="0.3">
      <c r="A55" s="54" t="s">
        <v>90</v>
      </c>
      <c r="B55" s="54" t="s">
        <v>111</v>
      </c>
      <c r="C55" s="55">
        <v>4</v>
      </c>
      <c r="D55" s="54" t="s">
        <v>766</v>
      </c>
      <c r="E55" s="53">
        <f t="shared" si="0"/>
        <v>0</v>
      </c>
      <c r="F55" s="53">
        <f t="shared" si="1"/>
        <v>66</v>
      </c>
    </row>
    <row r="56" spans="1:6" ht="23.25" thickBot="1" x14ac:dyDescent="0.3">
      <c r="A56" s="54" t="s">
        <v>90</v>
      </c>
      <c r="B56" s="54" t="s">
        <v>111</v>
      </c>
      <c r="C56" s="55">
        <v>5</v>
      </c>
      <c r="D56" s="54" t="s">
        <v>829</v>
      </c>
      <c r="E56" s="53">
        <f t="shared" si="0"/>
        <v>0</v>
      </c>
      <c r="F56" s="53">
        <f t="shared" si="1"/>
        <v>55</v>
      </c>
    </row>
    <row r="57" spans="1:6" ht="23.25" thickBot="1" x14ac:dyDescent="0.3">
      <c r="A57" s="54" t="s">
        <v>90</v>
      </c>
      <c r="B57" s="54" t="s">
        <v>111</v>
      </c>
      <c r="C57" s="55">
        <v>6</v>
      </c>
      <c r="D57" s="54" t="s">
        <v>829</v>
      </c>
      <c r="E57" s="53">
        <f t="shared" si="0"/>
        <v>0</v>
      </c>
      <c r="F57" s="53">
        <f t="shared" si="1"/>
        <v>55</v>
      </c>
    </row>
    <row r="58" spans="1:6" ht="23.25" thickBot="1" x14ac:dyDescent="0.3">
      <c r="A58" s="54" t="s">
        <v>90</v>
      </c>
      <c r="B58" s="54" t="s">
        <v>111</v>
      </c>
      <c r="C58" s="55">
        <v>7</v>
      </c>
      <c r="D58" s="54" t="s">
        <v>767</v>
      </c>
      <c r="E58" s="53">
        <f t="shared" si="0"/>
        <v>0</v>
      </c>
      <c r="F58" s="53">
        <f t="shared" si="1"/>
        <v>76</v>
      </c>
    </row>
    <row r="59" spans="1:6" ht="23.25" thickBot="1" x14ac:dyDescent="0.3">
      <c r="A59" s="54" t="s">
        <v>90</v>
      </c>
      <c r="B59" s="54" t="s">
        <v>111</v>
      </c>
      <c r="C59" s="55">
        <v>8</v>
      </c>
      <c r="D59" s="54" t="s">
        <v>768</v>
      </c>
      <c r="E59" s="53">
        <f t="shared" si="0"/>
        <v>0</v>
      </c>
      <c r="F59" s="53">
        <f t="shared" si="1"/>
        <v>68</v>
      </c>
    </row>
    <row r="60" spans="1:6" ht="23.25" thickBot="1" x14ac:dyDescent="0.3">
      <c r="A60" s="54" t="s">
        <v>90</v>
      </c>
      <c r="B60" s="54" t="s">
        <v>111</v>
      </c>
      <c r="C60" s="55">
        <v>9</v>
      </c>
      <c r="D60" s="54" t="s">
        <v>768</v>
      </c>
      <c r="E60" s="53">
        <f t="shared" si="0"/>
        <v>0</v>
      </c>
      <c r="F60" s="53">
        <f t="shared" si="1"/>
        <v>68</v>
      </c>
    </row>
    <row r="61" spans="1:6" ht="23.25" thickBot="1" x14ac:dyDescent="0.3">
      <c r="A61" s="54" t="s">
        <v>90</v>
      </c>
      <c r="B61" s="54" t="s">
        <v>111</v>
      </c>
      <c r="C61" s="55">
        <v>10</v>
      </c>
      <c r="D61" s="54" t="s">
        <v>768</v>
      </c>
      <c r="E61" s="53">
        <f t="shared" si="0"/>
        <v>0</v>
      </c>
      <c r="F61" s="53">
        <f t="shared" si="1"/>
        <v>68</v>
      </c>
    </row>
    <row r="62" spans="1:6" ht="23.25" thickBot="1" x14ac:dyDescent="0.3">
      <c r="A62" s="54" t="s">
        <v>90</v>
      </c>
      <c r="B62" s="54" t="s">
        <v>112</v>
      </c>
      <c r="C62" s="55">
        <v>1</v>
      </c>
      <c r="D62" s="58" t="s">
        <v>113</v>
      </c>
      <c r="E62" s="53">
        <f t="shared" si="0"/>
        <v>0</v>
      </c>
      <c r="F62" s="53">
        <f t="shared" si="1"/>
        <v>94</v>
      </c>
    </row>
    <row r="63" spans="1:6" ht="23.25" thickBot="1" x14ac:dyDescent="0.3">
      <c r="A63" s="54" t="s">
        <v>90</v>
      </c>
      <c r="B63" s="54" t="s">
        <v>112</v>
      </c>
      <c r="C63" s="55">
        <v>2</v>
      </c>
      <c r="D63" s="58" t="s">
        <v>113</v>
      </c>
      <c r="E63" s="53">
        <f t="shared" si="0"/>
        <v>0</v>
      </c>
      <c r="F63" s="53">
        <f t="shared" si="1"/>
        <v>94</v>
      </c>
    </row>
    <row r="64" spans="1:6" ht="23.25" thickBot="1" x14ac:dyDescent="0.3">
      <c r="A64" s="54" t="s">
        <v>90</v>
      </c>
      <c r="B64" s="54" t="s">
        <v>112</v>
      </c>
      <c r="C64" s="55">
        <v>3</v>
      </c>
      <c r="D64" s="58" t="s">
        <v>113</v>
      </c>
      <c r="E64" s="53">
        <f t="shared" si="0"/>
        <v>0</v>
      </c>
      <c r="F64" s="53">
        <f t="shared" si="1"/>
        <v>94</v>
      </c>
    </row>
    <row r="65" spans="1:6" ht="23.25" thickBot="1" x14ac:dyDescent="0.3">
      <c r="A65" s="54" t="s">
        <v>90</v>
      </c>
      <c r="B65" s="54" t="s">
        <v>112</v>
      </c>
      <c r="C65" s="55">
        <v>4</v>
      </c>
      <c r="D65" s="54" t="s">
        <v>114</v>
      </c>
      <c r="E65" s="53">
        <f t="shared" si="0"/>
        <v>0</v>
      </c>
      <c r="F65" s="53">
        <f t="shared" si="1"/>
        <v>104</v>
      </c>
    </row>
    <row r="66" spans="1:6" ht="23.25" thickBot="1" x14ac:dyDescent="0.3">
      <c r="A66" s="54" t="s">
        <v>90</v>
      </c>
      <c r="B66" s="54" t="s">
        <v>112</v>
      </c>
      <c r="C66" s="55">
        <v>5</v>
      </c>
      <c r="D66" s="54" t="s">
        <v>115</v>
      </c>
      <c r="E66" s="53">
        <f t="shared" si="0"/>
        <v>0</v>
      </c>
      <c r="F66" s="53">
        <f t="shared" si="1"/>
        <v>86</v>
      </c>
    </row>
    <row r="67" spans="1:6" ht="23.25" thickBot="1" x14ac:dyDescent="0.3">
      <c r="A67" s="54" t="s">
        <v>90</v>
      </c>
      <c r="B67" s="54" t="s">
        <v>112</v>
      </c>
      <c r="C67" s="55">
        <v>6</v>
      </c>
      <c r="D67" s="54" t="s">
        <v>115</v>
      </c>
      <c r="E67" s="53">
        <f t="shared" ref="E67:E130" si="2">IF(LEN(D67)&lt;170,0,1)</f>
        <v>0</v>
      </c>
      <c r="F67" s="53">
        <f t="shared" ref="F67:F130" si="3">LEN(D67)</f>
        <v>86</v>
      </c>
    </row>
    <row r="68" spans="1:6" ht="23.25" thickBot="1" x14ac:dyDescent="0.3">
      <c r="A68" s="54" t="s">
        <v>90</v>
      </c>
      <c r="B68" s="54" t="s">
        <v>112</v>
      </c>
      <c r="C68" s="55">
        <v>7</v>
      </c>
      <c r="D68" s="54" t="s">
        <v>769</v>
      </c>
      <c r="E68" s="53">
        <f t="shared" si="2"/>
        <v>0</v>
      </c>
      <c r="F68" s="53">
        <f t="shared" si="3"/>
        <v>78</v>
      </c>
    </row>
    <row r="69" spans="1:6" ht="23.25" thickBot="1" x14ac:dyDescent="0.3">
      <c r="A69" s="54" t="s">
        <v>90</v>
      </c>
      <c r="B69" s="54" t="s">
        <v>112</v>
      </c>
      <c r="C69" s="55">
        <v>8</v>
      </c>
      <c r="D69" s="54" t="s">
        <v>769</v>
      </c>
      <c r="E69" s="53">
        <f t="shared" si="2"/>
        <v>0</v>
      </c>
      <c r="F69" s="53">
        <f t="shared" si="3"/>
        <v>78</v>
      </c>
    </row>
    <row r="70" spans="1:6" ht="23.25" thickBot="1" x14ac:dyDescent="0.3">
      <c r="A70" s="54" t="s">
        <v>90</v>
      </c>
      <c r="B70" s="54" t="s">
        <v>112</v>
      </c>
      <c r="C70" s="55">
        <v>9</v>
      </c>
      <c r="D70" s="54" t="s">
        <v>770</v>
      </c>
      <c r="E70" s="53">
        <f t="shared" si="2"/>
        <v>0</v>
      </c>
      <c r="F70" s="53">
        <f t="shared" si="3"/>
        <v>104</v>
      </c>
    </row>
    <row r="71" spans="1:6" ht="23.25" thickBot="1" x14ac:dyDescent="0.3">
      <c r="A71" s="54" t="s">
        <v>90</v>
      </c>
      <c r="B71" s="54" t="s">
        <v>112</v>
      </c>
      <c r="C71" s="55">
        <v>10</v>
      </c>
      <c r="D71" s="54" t="s">
        <v>770</v>
      </c>
      <c r="E71" s="53">
        <f t="shared" si="2"/>
        <v>0</v>
      </c>
      <c r="F71" s="53">
        <f t="shared" si="3"/>
        <v>104</v>
      </c>
    </row>
    <row r="72" spans="1:6" ht="23.25" thickBot="1" x14ac:dyDescent="0.3">
      <c r="A72" s="54" t="s">
        <v>90</v>
      </c>
      <c r="B72" s="54" t="s">
        <v>116</v>
      </c>
      <c r="C72" s="55">
        <v>1</v>
      </c>
      <c r="D72" s="58" t="s">
        <v>771</v>
      </c>
      <c r="E72" s="53">
        <f t="shared" si="2"/>
        <v>0</v>
      </c>
      <c r="F72" s="53">
        <f t="shared" si="3"/>
        <v>75</v>
      </c>
    </row>
    <row r="73" spans="1:6" ht="23.25" thickBot="1" x14ac:dyDescent="0.3">
      <c r="A73" s="54" t="s">
        <v>90</v>
      </c>
      <c r="B73" s="54" t="s">
        <v>116</v>
      </c>
      <c r="C73" s="55">
        <v>2</v>
      </c>
      <c r="D73" s="58" t="s">
        <v>771</v>
      </c>
      <c r="E73" s="53">
        <f t="shared" si="2"/>
        <v>0</v>
      </c>
      <c r="F73" s="53">
        <f t="shared" si="3"/>
        <v>75</v>
      </c>
    </row>
    <row r="74" spans="1:6" ht="23.25" thickBot="1" x14ac:dyDescent="0.3">
      <c r="A74" s="54" t="s">
        <v>90</v>
      </c>
      <c r="B74" s="54" t="s">
        <v>116</v>
      </c>
      <c r="C74" s="55">
        <v>3</v>
      </c>
      <c r="D74" s="58" t="s">
        <v>771</v>
      </c>
      <c r="E74" s="53">
        <f t="shared" si="2"/>
        <v>0</v>
      </c>
      <c r="F74" s="53">
        <f t="shared" si="3"/>
        <v>75</v>
      </c>
    </row>
    <row r="75" spans="1:6" ht="23.25" thickBot="1" x14ac:dyDescent="0.3">
      <c r="A75" s="54" t="s">
        <v>90</v>
      </c>
      <c r="B75" s="54" t="s">
        <v>116</v>
      </c>
      <c r="C75" s="55">
        <v>4</v>
      </c>
      <c r="D75" s="54" t="s">
        <v>772</v>
      </c>
      <c r="E75" s="53">
        <f t="shared" si="2"/>
        <v>0</v>
      </c>
      <c r="F75" s="53">
        <f t="shared" si="3"/>
        <v>96</v>
      </c>
    </row>
    <row r="76" spans="1:6" ht="23.25" thickBot="1" x14ac:dyDescent="0.3">
      <c r="A76" s="54" t="s">
        <v>90</v>
      </c>
      <c r="B76" s="54" t="s">
        <v>116</v>
      </c>
      <c r="C76" s="55">
        <v>5</v>
      </c>
      <c r="D76" s="54" t="s">
        <v>772</v>
      </c>
      <c r="E76" s="53">
        <f t="shared" si="2"/>
        <v>0</v>
      </c>
      <c r="F76" s="53">
        <f t="shared" si="3"/>
        <v>96</v>
      </c>
    </row>
    <row r="77" spans="1:6" ht="23.25" thickBot="1" x14ac:dyDescent="0.3">
      <c r="A77" s="54" t="s">
        <v>90</v>
      </c>
      <c r="B77" s="54" t="s">
        <v>116</v>
      </c>
      <c r="C77" s="55">
        <v>6</v>
      </c>
      <c r="D77" s="54" t="s">
        <v>772</v>
      </c>
      <c r="E77" s="53">
        <f t="shared" si="2"/>
        <v>0</v>
      </c>
      <c r="F77" s="53">
        <f t="shared" si="3"/>
        <v>96</v>
      </c>
    </row>
    <row r="78" spans="1:6" ht="23.25" thickBot="1" x14ac:dyDescent="0.3">
      <c r="A78" s="54" t="s">
        <v>90</v>
      </c>
      <c r="B78" s="54" t="s">
        <v>116</v>
      </c>
      <c r="C78" s="55">
        <v>7</v>
      </c>
      <c r="D78" s="58" t="s">
        <v>773</v>
      </c>
      <c r="E78" s="53">
        <f t="shared" si="2"/>
        <v>0</v>
      </c>
      <c r="F78" s="53">
        <f t="shared" si="3"/>
        <v>94</v>
      </c>
    </row>
    <row r="79" spans="1:6" ht="23.25" thickBot="1" x14ac:dyDescent="0.3">
      <c r="A79" s="54" t="s">
        <v>90</v>
      </c>
      <c r="B79" s="54" t="s">
        <v>116</v>
      </c>
      <c r="C79" s="55">
        <v>8</v>
      </c>
      <c r="D79" s="58" t="s">
        <v>773</v>
      </c>
      <c r="E79" s="53">
        <f t="shared" si="2"/>
        <v>0</v>
      </c>
      <c r="F79" s="53">
        <f t="shared" si="3"/>
        <v>94</v>
      </c>
    </row>
    <row r="80" spans="1:6" ht="23.25" thickBot="1" x14ac:dyDescent="0.3">
      <c r="A80" s="54" t="s">
        <v>90</v>
      </c>
      <c r="B80" s="54" t="s">
        <v>116</v>
      </c>
      <c r="C80" s="55">
        <v>9</v>
      </c>
      <c r="D80" s="58" t="s">
        <v>774</v>
      </c>
      <c r="E80" s="53">
        <f t="shared" si="2"/>
        <v>0</v>
      </c>
      <c r="F80" s="53">
        <f t="shared" si="3"/>
        <v>106</v>
      </c>
    </row>
    <row r="81" spans="1:6" ht="23.25" thickBot="1" x14ac:dyDescent="0.3">
      <c r="A81" s="54" t="s">
        <v>90</v>
      </c>
      <c r="B81" s="54" t="s">
        <v>116</v>
      </c>
      <c r="C81" s="55">
        <v>10</v>
      </c>
      <c r="D81" s="58" t="s">
        <v>774</v>
      </c>
      <c r="E81" s="53">
        <f t="shared" si="2"/>
        <v>0</v>
      </c>
      <c r="F81" s="53">
        <f t="shared" si="3"/>
        <v>106</v>
      </c>
    </row>
    <row r="82" spans="1:6" ht="23.25" thickBot="1" x14ac:dyDescent="0.3">
      <c r="A82" s="54" t="s">
        <v>90</v>
      </c>
      <c r="B82" s="54" t="s">
        <v>117</v>
      </c>
      <c r="C82" s="55">
        <v>1</v>
      </c>
      <c r="D82" s="54" t="s">
        <v>775</v>
      </c>
      <c r="E82" s="53">
        <f t="shared" si="2"/>
        <v>0</v>
      </c>
      <c r="F82" s="53">
        <f t="shared" si="3"/>
        <v>91</v>
      </c>
    </row>
    <row r="83" spans="1:6" ht="23.25" thickBot="1" x14ac:dyDescent="0.3">
      <c r="A83" s="54" t="s">
        <v>90</v>
      </c>
      <c r="B83" s="54" t="s">
        <v>117</v>
      </c>
      <c r="C83" s="55">
        <v>2</v>
      </c>
      <c r="D83" s="54" t="s">
        <v>775</v>
      </c>
      <c r="E83" s="53">
        <f t="shared" si="2"/>
        <v>0</v>
      </c>
      <c r="F83" s="53">
        <f t="shared" si="3"/>
        <v>91</v>
      </c>
    </row>
    <row r="84" spans="1:6" ht="23.25" thickBot="1" x14ac:dyDescent="0.3">
      <c r="A84" s="54" t="s">
        <v>90</v>
      </c>
      <c r="B84" s="54" t="s">
        <v>117</v>
      </c>
      <c r="C84" s="55">
        <v>3</v>
      </c>
      <c r="D84" s="54" t="s">
        <v>775</v>
      </c>
      <c r="E84" s="53">
        <f t="shared" si="2"/>
        <v>0</v>
      </c>
      <c r="F84" s="53">
        <f t="shared" si="3"/>
        <v>91</v>
      </c>
    </row>
    <row r="85" spans="1:6" ht="23.25" thickBot="1" x14ac:dyDescent="0.3">
      <c r="A85" s="54" t="s">
        <v>90</v>
      </c>
      <c r="B85" s="54" t="s">
        <v>117</v>
      </c>
      <c r="C85" s="55">
        <v>4</v>
      </c>
      <c r="D85" s="54" t="s">
        <v>775</v>
      </c>
      <c r="E85" s="53">
        <f t="shared" si="2"/>
        <v>0</v>
      </c>
      <c r="F85" s="53">
        <f t="shared" si="3"/>
        <v>91</v>
      </c>
    </row>
    <row r="86" spans="1:6" ht="23.25" thickBot="1" x14ac:dyDescent="0.3">
      <c r="A86" s="54" t="s">
        <v>90</v>
      </c>
      <c r="B86" s="54" t="s">
        <v>117</v>
      </c>
      <c r="C86" s="55">
        <v>5</v>
      </c>
      <c r="D86" s="54" t="s">
        <v>118</v>
      </c>
      <c r="E86" s="53">
        <f t="shared" si="2"/>
        <v>0</v>
      </c>
      <c r="F86" s="53">
        <f t="shared" si="3"/>
        <v>90</v>
      </c>
    </row>
    <row r="87" spans="1:6" ht="23.25" thickBot="1" x14ac:dyDescent="0.3">
      <c r="A87" s="54" t="s">
        <v>90</v>
      </c>
      <c r="B87" s="54" t="s">
        <v>117</v>
      </c>
      <c r="C87" s="55">
        <v>6</v>
      </c>
      <c r="D87" s="54" t="s">
        <v>118</v>
      </c>
      <c r="E87" s="53">
        <f t="shared" si="2"/>
        <v>0</v>
      </c>
      <c r="F87" s="53">
        <f t="shared" si="3"/>
        <v>90</v>
      </c>
    </row>
    <row r="88" spans="1:6" ht="23.25" thickBot="1" x14ac:dyDescent="0.3">
      <c r="A88" s="54" t="s">
        <v>90</v>
      </c>
      <c r="B88" s="54" t="s">
        <v>117</v>
      </c>
      <c r="C88" s="55">
        <v>7</v>
      </c>
      <c r="D88" s="54" t="s">
        <v>831</v>
      </c>
      <c r="E88" s="53">
        <f t="shared" si="2"/>
        <v>0</v>
      </c>
      <c r="F88" s="53">
        <f t="shared" si="3"/>
        <v>89</v>
      </c>
    </row>
    <row r="89" spans="1:6" ht="23.25" thickBot="1" x14ac:dyDescent="0.3">
      <c r="A89" s="54" t="s">
        <v>90</v>
      </c>
      <c r="B89" s="54" t="s">
        <v>117</v>
      </c>
      <c r="C89" s="55">
        <v>8</v>
      </c>
      <c r="D89" s="54" t="s">
        <v>830</v>
      </c>
      <c r="E89" s="53">
        <f t="shared" si="2"/>
        <v>0</v>
      </c>
      <c r="F89" s="53">
        <f t="shared" si="3"/>
        <v>97</v>
      </c>
    </row>
    <row r="90" spans="1:6" ht="23.25" thickBot="1" x14ac:dyDescent="0.3">
      <c r="A90" s="54" t="s">
        <v>90</v>
      </c>
      <c r="B90" s="54" t="s">
        <v>117</v>
      </c>
      <c r="C90" s="55">
        <v>9</v>
      </c>
      <c r="D90" s="54" t="s">
        <v>830</v>
      </c>
      <c r="E90" s="53">
        <f t="shared" si="2"/>
        <v>0</v>
      </c>
      <c r="F90" s="53">
        <f t="shared" si="3"/>
        <v>97</v>
      </c>
    </row>
    <row r="91" spans="1:6" ht="23.25" thickBot="1" x14ac:dyDescent="0.3">
      <c r="A91" s="54" t="s">
        <v>90</v>
      </c>
      <c r="B91" s="54" t="s">
        <v>117</v>
      </c>
      <c r="C91" s="55">
        <v>10</v>
      </c>
      <c r="D91" s="54" t="s">
        <v>830</v>
      </c>
      <c r="E91" s="53">
        <f t="shared" si="2"/>
        <v>0</v>
      </c>
      <c r="F91" s="53">
        <f t="shared" si="3"/>
        <v>97</v>
      </c>
    </row>
    <row r="92" spans="1:6" ht="23.25" thickBot="1" x14ac:dyDescent="0.3">
      <c r="A92" s="54" t="s">
        <v>90</v>
      </c>
      <c r="B92" s="54" t="s">
        <v>119</v>
      </c>
      <c r="C92" s="55">
        <v>1</v>
      </c>
      <c r="D92" s="54" t="s">
        <v>776</v>
      </c>
      <c r="E92" s="53">
        <f t="shared" si="2"/>
        <v>0</v>
      </c>
      <c r="F92" s="53">
        <f t="shared" si="3"/>
        <v>105</v>
      </c>
    </row>
    <row r="93" spans="1:6" ht="23.25" thickBot="1" x14ac:dyDescent="0.3">
      <c r="A93" s="54" t="s">
        <v>90</v>
      </c>
      <c r="B93" s="54" t="s">
        <v>119</v>
      </c>
      <c r="C93" s="55">
        <v>2</v>
      </c>
      <c r="D93" s="54" t="s">
        <v>776</v>
      </c>
      <c r="E93" s="53">
        <f t="shared" si="2"/>
        <v>0</v>
      </c>
      <c r="F93" s="53">
        <f t="shared" si="3"/>
        <v>105</v>
      </c>
    </row>
    <row r="94" spans="1:6" ht="23.25" thickBot="1" x14ac:dyDescent="0.3">
      <c r="A94" s="54" t="s">
        <v>90</v>
      </c>
      <c r="B94" s="54" t="s">
        <v>119</v>
      </c>
      <c r="C94" s="55">
        <v>3</v>
      </c>
      <c r="D94" s="54" t="s">
        <v>776</v>
      </c>
      <c r="E94" s="53">
        <f t="shared" si="2"/>
        <v>0</v>
      </c>
      <c r="F94" s="53">
        <f t="shared" si="3"/>
        <v>105</v>
      </c>
    </row>
    <row r="95" spans="1:6" ht="23.25" thickBot="1" x14ac:dyDescent="0.3">
      <c r="A95" s="54" t="s">
        <v>90</v>
      </c>
      <c r="B95" s="54" t="s">
        <v>119</v>
      </c>
      <c r="C95" s="55">
        <v>4</v>
      </c>
      <c r="D95" s="54" t="s">
        <v>777</v>
      </c>
      <c r="E95" s="53">
        <f t="shared" si="2"/>
        <v>0</v>
      </c>
      <c r="F95" s="53">
        <f t="shared" si="3"/>
        <v>90</v>
      </c>
    </row>
    <row r="96" spans="1:6" ht="23.25" thickBot="1" x14ac:dyDescent="0.3">
      <c r="A96" s="54" t="s">
        <v>90</v>
      </c>
      <c r="B96" s="54" t="s">
        <v>119</v>
      </c>
      <c r="C96" s="55">
        <v>5</v>
      </c>
      <c r="D96" s="54" t="s">
        <v>241</v>
      </c>
      <c r="E96" s="53">
        <f t="shared" si="2"/>
        <v>0</v>
      </c>
      <c r="F96" s="53">
        <f t="shared" si="3"/>
        <v>35</v>
      </c>
    </row>
    <row r="97" spans="1:6" ht="23.25" thickBot="1" x14ac:dyDescent="0.3">
      <c r="A97" s="54" t="s">
        <v>90</v>
      </c>
      <c r="B97" s="54" t="s">
        <v>119</v>
      </c>
      <c r="C97" s="55">
        <v>6</v>
      </c>
      <c r="D97" s="58" t="s">
        <v>832</v>
      </c>
      <c r="E97" s="53">
        <f t="shared" si="2"/>
        <v>0</v>
      </c>
      <c r="F97" s="53">
        <f t="shared" si="3"/>
        <v>63</v>
      </c>
    </row>
    <row r="98" spans="1:6" ht="23.25" thickBot="1" x14ac:dyDescent="0.3">
      <c r="A98" s="54" t="s">
        <v>90</v>
      </c>
      <c r="B98" s="54" t="s">
        <v>119</v>
      </c>
      <c r="C98" s="55">
        <v>7</v>
      </c>
      <c r="D98" s="58" t="s">
        <v>778</v>
      </c>
      <c r="E98" s="53">
        <f t="shared" si="2"/>
        <v>0</v>
      </c>
      <c r="F98" s="53">
        <f t="shared" si="3"/>
        <v>77</v>
      </c>
    </row>
    <row r="99" spans="1:6" ht="23.25" thickBot="1" x14ac:dyDescent="0.3">
      <c r="A99" s="54" t="s">
        <v>90</v>
      </c>
      <c r="B99" s="54" t="s">
        <v>119</v>
      </c>
      <c r="C99" s="55">
        <v>8</v>
      </c>
      <c r="D99" s="58" t="s">
        <v>120</v>
      </c>
      <c r="E99" s="53">
        <f t="shared" si="2"/>
        <v>0</v>
      </c>
      <c r="F99" s="53">
        <f t="shared" si="3"/>
        <v>107</v>
      </c>
    </row>
    <row r="100" spans="1:6" ht="23.25" thickBot="1" x14ac:dyDescent="0.3">
      <c r="A100" s="54" t="s">
        <v>90</v>
      </c>
      <c r="B100" s="54" t="s">
        <v>119</v>
      </c>
      <c r="C100" s="55">
        <v>9</v>
      </c>
      <c r="D100" s="58" t="s">
        <v>120</v>
      </c>
      <c r="E100" s="53">
        <f t="shared" si="2"/>
        <v>0</v>
      </c>
      <c r="F100" s="53">
        <f t="shared" si="3"/>
        <v>107</v>
      </c>
    </row>
    <row r="101" spans="1:6" ht="23.25" thickBot="1" x14ac:dyDescent="0.3">
      <c r="A101" s="54" t="s">
        <v>90</v>
      </c>
      <c r="B101" s="54" t="s">
        <v>119</v>
      </c>
      <c r="C101" s="55">
        <v>10</v>
      </c>
      <c r="D101" s="58" t="s">
        <v>120</v>
      </c>
      <c r="E101" s="53">
        <f t="shared" si="2"/>
        <v>0</v>
      </c>
      <c r="F101" s="53">
        <f t="shared" si="3"/>
        <v>107</v>
      </c>
    </row>
    <row r="102" spans="1:6" ht="23.25" thickBot="1" x14ac:dyDescent="0.3">
      <c r="A102" s="54" t="s">
        <v>90</v>
      </c>
      <c r="B102" s="54" t="s">
        <v>121</v>
      </c>
      <c r="C102" s="55">
        <v>1</v>
      </c>
      <c r="D102" s="54" t="s">
        <v>123</v>
      </c>
      <c r="E102" s="53">
        <f t="shared" si="2"/>
        <v>0</v>
      </c>
      <c r="F102" s="53">
        <f t="shared" si="3"/>
        <v>77</v>
      </c>
    </row>
    <row r="103" spans="1:6" ht="23.25" thickBot="1" x14ac:dyDescent="0.3">
      <c r="A103" s="54" t="s">
        <v>90</v>
      </c>
      <c r="B103" s="54" t="s">
        <v>121</v>
      </c>
      <c r="C103" s="55">
        <v>2</v>
      </c>
      <c r="D103" s="54" t="s">
        <v>123</v>
      </c>
      <c r="E103" s="53">
        <f t="shared" si="2"/>
        <v>0</v>
      </c>
      <c r="F103" s="53">
        <f t="shared" si="3"/>
        <v>77</v>
      </c>
    </row>
    <row r="104" spans="1:6" ht="23.25" thickBot="1" x14ac:dyDescent="0.3">
      <c r="A104" s="54" t="s">
        <v>90</v>
      </c>
      <c r="B104" s="54" t="s">
        <v>121</v>
      </c>
      <c r="C104" s="55">
        <v>3</v>
      </c>
      <c r="D104" s="54" t="s">
        <v>122</v>
      </c>
      <c r="E104" s="53">
        <f t="shared" si="2"/>
        <v>0</v>
      </c>
      <c r="F104" s="53">
        <f t="shared" si="3"/>
        <v>61</v>
      </c>
    </row>
    <row r="105" spans="1:6" ht="23.25" thickBot="1" x14ac:dyDescent="0.3">
      <c r="A105" s="54" t="s">
        <v>90</v>
      </c>
      <c r="B105" s="54" t="s">
        <v>121</v>
      </c>
      <c r="C105" s="55">
        <v>4</v>
      </c>
      <c r="D105" s="54" t="s">
        <v>122</v>
      </c>
      <c r="E105" s="53">
        <f t="shared" si="2"/>
        <v>0</v>
      </c>
      <c r="F105" s="53">
        <f t="shared" si="3"/>
        <v>61</v>
      </c>
    </row>
    <row r="106" spans="1:6" ht="23.25" thickBot="1" x14ac:dyDescent="0.3">
      <c r="A106" s="54" t="s">
        <v>90</v>
      </c>
      <c r="B106" s="54" t="s">
        <v>121</v>
      </c>
      <c r="C106" s="55">
        <v>5</v>
      </c>
      <c r="D106" s="54" t="s">
        <v>124</v>
      </c>
      <c r="E106" s="53">
        <f t="shared" si="2"/>
        <v>0</v>
      </c>
      <c r="F106" s="53">
        <f t="shared" si="3"/>
        <v>61</v>
      </c>
    </row>
    <row r="107" spans="1:6" ht="23.25" thickBot="1" x14ac:dyDescent="0.3">
      <c r="A107" s="54" t="s">
        <v>90</v>
      </c>
      <c r="B107" s="54" t="s">
        <v>121</v>
      </c>
      <c r="C107" s="55">
        <v>6</v>
      </c>
      <c r="D107" s="54" t="s">
        <v>125</v>
      </c>
      <c r="E107" s="53">
        <f t="shared" si="2"/>
        <v>0</v>
      </c>
      <c r="F107" s="53">
        <f t="shared" si="3"/>
        <v>65</v>
      </c>
    </row>
    <row r="108" spans="1:6" ht="23.25" thickBot="1" x14ac:dyDescent="0.3">
      <c r="A108" s="54" t="s">
        <v>90</v>
      </c>
      <c r="B108" s="54" t="s">
        <v>121</v>
      </c>
      <c r="C108" s="55">
        <v>7</v>
      </c>
      <c r="D108" s="54" t="s">
        <v>779</v>
      </c>
      <c r="E108" s="53">
        <f t="shared" si="2"/>
        <v>0</v>
      </c>
      <c r="F108" s="53">
        <f t="shared" si="3"/>
        <v>108</v>
      </c>
    </row>
    <row r="109" spans="1:6" ht="23.25" thickBot="1" x14ac:dyDescent="0.3">
      <c r="A109" s="54" t="s">
        <v>90</v>
      </c>
      <c r="B109" s="54" t="s">
        <v>121</v>
      </c>
      <c r="C109" s="55">
        <v>8</v>
      </c>
      <c r="D109" s="54" t="s">
        <v>126</v>
      </c>
      <c r="E109" s="53">
        <f t="shared" si="2"/>
        <v>0</v>
      </c>
      <c r="F109" s="53">
        <f t="shared" si="3"/>
        <v>109</v>
      </c>
    </row>
    <row r="110" spans="1:6" ht="23.25" thickBot="1" x14ac:dyDescent="0.3">
      <c r="A110" s="54" t="s">
        <v>90</v>
      </c>
      <c r="B110" s="54" t="s">
        <v>121</v>
      </c>
      <c r="C110" s="55">
        <v>9</v>
      </c>
      <c r="D110" s="54" t="s">
        <v>126</v>
      </c>
      <c r="E110" s="53">
        <f t="shared" si="2"/>
        <v>0</v>
      </c>
      <c r="F110" s="53">
        <f t="shared" si="3"/>
        <v>109</v>
      </c>
    </row>
    <row r="111" spans="1:6" ht="23.25" thickBot="1" x14ac:dyDescent="0.3">
      <c r="A111" s="54" t="s">
        <v>90</v>
      </c>
      <c r="B111" s="54" t="s">
        <v>121</v>
      </c>
      <c r="C111" s="55">
        <v>10</v>
      </c>
      <c r="D111" s="54" t="s">
        <v>126</v>
      </c>
      <c r="E111" s="53">
        <f t="shared" si="2"/>
        <v>0</v>
      </c>
      <c r="F111" s="53">
        <f t="shared" si="3"/>
        <v>109</v>
      </c>
    </row>
    <row r="112" spans="1:6" ht="23.25" thickBot="1" x14ac:dyDescent="0.3">
      <c r="A112" s="54" t="s">
        <v>90</v>
      </c>
      <c r="B112" s="54" t="s">
        <v>127</v>
      </c>
      <c r="C112" s="55">
        <v>1</v>
      </c>
      <c r="D112" s="54" t="s">
        <v>128</v>
      </c>
      <c r="E112" s="53">
        <f t="shared" si="2"/>
        <v>0</v>
      </c>
      <c r="F112" s="53">
        <f t="shared" si="3"/>
        <v>68</v>
      </c>
    </row>
    <row r="113" spans="1:6" ht="23.25" thickBot="1" x14ac:dyDescent="0.3">
      <c r="A113" s="54" t="s">
        <v>90</v>
      </c>
      <c r="B113" s="54" t="s">
        <v>127</v>
      </c>
      <c r="C113" s="55">
        <v>2</v>
      </c>
      <c r="D113" s="54" t="s">
        <v>780</v>
      </c>
      <c r="E113" s="53">
        <f t="shared" si="2"/>
        <v>0</v>
      </c>
      <c r="F113" s="53">
        <f t="shared" si="3"/>
        <v>84</v>
      </c>
    </row>
    <row r="114" spans="1:6" ht="23.25" thickBot="1" x14ac:dyDescent="0.3">
      <c r="A114" s="54" t="s">
        <v>90</v>
      </c>
      <c r="B114" s="54" t="s">
        <v>127</v>
      </c>
      <c r="C114" s="55">
        <v>3</v>
      </c>
      <c r="D114" s="54" t="s">
        <v>781</v>
      </c>
      <c r="E114" s="53">
        <f t="shared" si="2"/>
        <v>0</v>
      </c>
      <c r="F114" s="53">
        <f t="shared" si="3"/>
        <v>93</v>
      </c>
    </row>
    <row r="115" spans="1:6" ht="23.25" thickBot="1" x14ac:dyDescent="0.3">
      <c r="A115" s="54" t="s">
        <v>90</v>
      </c>
      <c r="B115" s="54" t="s">
        <v>127</v>
      </c>
      <c r="C115" s="55">
        <v>4</v>
      </c>
      <c r="D115" s="54" t="s">
        <v>833</v>
      </c>
      <c r="E115" s="53">
        <f t="shared" si="2"/>
        <v>0</v>
      </c>
      <c r="F115" s="53">
        <f t="shared" si="3"/>
        <v>69</v>
      </c>
    </row>
    <row r="116" spans="1:6" ht="23.25" thickBot="1" x14ac:dyDescent="0.3">
      <c r="A116" s="54" t="s">
        <v>90</v>
      </c>
      <c r="B116" s="54" t="s">
        <v>127</v>
      </c>
      <c r="C116" s="55">
        <v>5</v>
      </c>
      <c r="D116" s="54" t="s">
        <v>833</v>
      </c>
      <c r="E116" s="53">
        <f t="shared" si="2"/>
        <v>0</v>
      </c>
      <c r="F116" s="53">
        <f t="shared" si="3"/>
        <v>69</v>
      </c>
    </row>
    <row r="117" spans="1:6" ht="23.25" thickBot="1" x14ac:dyDescent="0.3">
      <c r="A117" s="54" t="s">
        <v>90</v>
      </c>
      <c r="B117" s="54" t="s">
        <v>127</v>
      </c>
      <c r="C117" s="55">
        <v>6</v>
      </c>
      <c r="D117" s="54" t="s">
        <v>783</v>
      </c>
      <c r="E117" s="53">
        <f t="shared" si="2"/>
        <v>0</v>
      </c>
      <c r="F117" s="53">
        <f t="shared" si="3"/>
        <v>93</v>
      </c>
    </row>
    <row r="118" spans="1:6" ht="23.25" thickBot="1" x14ac:dyDescent="0.3">
      <c r="A118" s="54" t="s">
        <v>90</v>
      </c>
      <c r="B118" s="54" t="s">
        <v>127</v>
      </c>
      <c r="C118" s="55">
        <v>7</v>
      </c>
      <c r="D118" s="54" t="s">
        <v>783</v>
      </c>
      <c r="E118" s="53">
        <f t="shared" si="2"/>
        <v>0</v>
      </c>
      <c r="F118" s="53">
        <f t="shared" si="3"/>
        <v>93</v>
      </c>
    </row>
    <row r="119" spans="1:6" ht="23.25" thickBot="1" x14ac:dyDescent="0.3">
      <c r="A119" s="54" t="s">
        <v>90</v>
      </c>
      <c r="B119" s="54" t="s">
        <v>127</v>
      </c>
      <c r="C119" s="55">
        <v>8</v>
      </c>
      <c r="D119" s="54" t="s">
        <v>834</v>
      </c>
      <c r="E119" s="53">
        <f t="shared" si="2"/>
        <v>0</v>
      </c>
      <c r="F119" s="53">
        <f t="shared" si="3"/>
        <v>97</v>
      </c>
    </row>
    <row r="120" spans="1:6" ht="23.25" thickBot="1" x14ac:dyDescent="0.3">
      <c r="A120" s="54" t="s">
        <v>90</v>
      </c>
      <c r="B120" s="54" t="s">
        <v>127</v>
      </c>
      <c r="C120" s="55">
        <v>9</v>
      </c>
      <c r="D120" s="54" t="s">
        <v>834</v>
      </c>
      <c r="E120" s="53">
        <f t="shared" si="2"/>
        <v>0</v>
      </c>
      <c r="F120" s="53">
        <f t="shared" si="3"/>
        <v>97</v>
      </c>
    </row>
    <row r="121" spans="1:6" ht="23.25" thickBot="1" x14ac:dyDescent="0.3">
      <c r="A121" s="54" t="s">
        <v>90</v>
      </c>
      <c r="B121" s="54" t="s">
        <v>127</v>
      </c>
      <c r="C121" s="55">
        <v>10</v>
      </c>
      <c r="D121" s="54" t="s">
        <v>782</v>
      </c>
      <c r="E121" s="53">
        <f t="shared" si="2"/>
        <v>0</v>
      </c>
      <c r="F121" s="53">
        <f t="shared" si="3"/>
        <v>94</v>
      </c>
    </row>
    <row r="122" spans="1:6" ht="23.25" thickBot="1" x14ac:dyDescent="0.3">
      <c r="A122" s="54" t="s">
        <v>90</v>
      </c>
      <c r="B122" s="54" t="s">
        <v>129</v>
      </c>
      <c r="C122" s="55">
        <v>1</v>
      </c>
      <c r="D122" s="54" t="s">
        <v>835</v>
      </c>
      <c r="E122" s="53">
        <f t="shared" si="2"/>
        <v>0</v>
      </c>
      <c r="F122" s="53">
        <f t="shared" si="3"/>
        <v>80</v>
      </c>
    </row>
    <row r="123" spans="1:6" ht="23.25" thickBot="1" x14ac:dyDescent="0.3">
      <c r="A123" s="54" t="s">
        <v>90</v>
      </c>
      <c r="B123" s="54" t="s">
        <v>129</v>
      </c>
      <c r="C123" s="55">
        <v>2</v>
      </c>
      <c r="D123" s="54" t="s">
        <v>835</v>
      </c>
      <c r="E123" s="53">
        <f t="shared" si="2"/>
        <v>0</v>
      </c>
      <c r="F123" s="53">
        <f t="shared" si="3"/>
        <v>80</v>
      </c>
    </row>
    <row r="124" spans="1:6" ht="23.25" thickBot="1" x14ac:dyDescent="0.3">
      <c r="A124" s="54" t="s">
        <v>90</v>
      </c>
      <c r="B124" s="54" t="s">
        <v>129</v>
      </c>
      <c r="C124" s="55">
        <v>3</v>
      </c>
      <c r="D124" s="54" t="s">
        <v>835</v>
      </c>
      <c r="E124" s="53">
        <f t="shared" si="2"/>
        <v>0</v>
      </c>
      <c r="F124" s="53">
        <f t="shared" si="3"/>
        <v>80</v>
      </c>
    </row>
    <row r="125" spans="1:6" ht="23.25" thickBot="1" x14ac:dyDescent="0.3">
      <c r="A125" s="54" t="s">
        <v>90</v>
      </c>
      <c r="B125" s="54" t="s">
        <v>129</v>
      </c>
      <c r="C125" s="55">
        <v>4</v>
      </c>
      <c r="D125" s="54" t="s">
        <v>822</v>
      </c>
      <c r="E125" s="53">
        <f t="shared" si="2"/>
        <v>0</v>
      </c>
      <c r="F125" s="53">
        <f t="shared" si="3"/>
        <v>92</v>
      </c>
    </row>
    <row r="126" spans="1:6" ht="23.25" thickBot="1" x14ac:dyDescent="0.3">
      <c r="A126" s="54" t="s">
        <v>90</v>
      </c>
      <c r="B126" s="54" t="s">
        <v>129</v>
      </c>
      <c r="C126" s="55">
        <v>5</v>
      </c>
      <c r="D126" s="54" t="s">
        <v>130</v>
      </c>
      <c r="E126" s="53">
        <f t="shared" si="2"/>
        <v>0</v>
      </c>
      <c r="F126" s="53">
        <f t="shared" si="3"/>
        <v>71</v>
      </c>
    </row>
    <row r="127" spans="1:6" ht="23.25" thickBot="1" x14ac:dyDescent="0.3">
      <c r="A127" s="54" t="s">
        <v>90</v>
      </c>
      <c r="B127" s="54" t="s">
        <v>129</v>
      </c>
      <c r="C127" s="55">
        <v>6</v>
      </c>
      <c r="D127" s="54" t="s">
        <v>130</v>
      </c>
      <c r="E127" s="53">
        <f t="shared" si="2"/>
        <v>0</v>
      </c>
      <c r="F127" s="53">
        <f t="shared" si="3"/>
        <v>71</v>
      </c>
    </row>
    <row r="128" spans="1:6" ht="23.25" thickBot="1" x14ac:dyDescent="0.3">
      <c r="A128" s="54" t="s">
        <v>90</v>
      </c>
      <c r="B128" s="54" t="s">
        <v>129</v>
      </c>
      <c r="C128" s="55">
        <v>7</v>
      </c>
      <c r="D128" s="54" t="s">
        <v>836</v>
      </c>
      <c r="E128" s="53">
        <f t="shared" si="2"/>
        <v>0</v>
      </c>
      <c r="F128" s="53">
        <f t="shared" si="3"/>
        <v>81</v>
      </c>
    </row>
    <row r="129" spans="1:6" ht="23.25" thickBot="1" x14ac:dyDescent="0.3">
      <c r="A129" s="54" t="s">
        <v>90</v>
      </c>
      <c r="B129" s="54" t="s">
        <v>129</v>
      </c>
      <c r="C129" s="55">
        <v>8</v>
      </c>
      <c r="D129" s="54" t="s">
        <v>823</v>
      </c>
      <c r="E129" s="53">
        <f t="shared" si="2"/>
        <v>0</v>
      </c>
      <c r="F129" s="53">
        <f t="shared" si="3"/>
        <v>71</v>
      </c>
    </row>
    <row r="130" spans="1:6" ht="23.25" thickBot="1" x14ac:dyDescent="0.3">
      <c r="A130" s="54" t="s">
        <v>90</v>
      </c>
      <c r="B130" s="54" t="s">
        <v>129</v>
      </c>
      <c r="C130" s="55">
        <v>9</v>
      </c>
      <c r="D130" s="54" t="s">
        <v>823</v>
      </c>
      <c r="E130" s="53">
        <f t="shared" si="2"/>
        <v>0</v>
      </c>
      <c r="F130" s="53">
        <f t="shared" si="3"/>
        <v>71</v>
      </c>
    </row>
    <row r="131" spans="1:6" ht="23.25" thickBot="1" x14ac:dyDescent="0.3">
      <c r="A131" s="54" t="s">
        <v>90</v>
      </c>
      <c r="B131" s="54" t="s">
        <v>129</v>
      </c>
      <c r="C131" s="55">
        <v>10</v>
      </c>
      <c r="D131" s="54" t="s">
        <v>823</v>
      </c>
      <c r="E131" s="53">
        <f t="shared" ref="E131:E194" si="4">IF(LEN(D131)&lt;170,0,1)</f>
        <v>0</v>
      </c>
      <c r="F131" s="53">
        <f t="shared" ref="F131:F194" si="5">LEN(D131)</f>
        <v>71</v>
      </c>
    </row>
    <row r="132" spans="1:6" ht="23.25" thickBot="1" x14ac:dyDescent="0.3">
      <c r="A132" s="54" t="s">
        <v>90</v>
      </c>
      <c r="B132" s="54" t="s">
        <v>131</v>
      </c>
      <c r="C132" s="55">
        <v>1</v>
      </c>
      <c r="D132" s="54" t="s">
        <v>816</v>
      </c>
      <c r="E132" s="53">
        <f t="shared" si="4"/>
        <v>0</v>
      </c>
      <c r="F132" s="53">
        <f t="shared" si="5"/>
        <v>89</v>
      </c>
    </row>
    <row r="133" spans="1:6" ht="23.25" thickBot="1" x14ac:dyDescent="0.3">
      <c r="A133" s="54" t="s">
        <v>90</v>
      </c>
      <c r="B133" s="54" t="s">
        <v>131</v>
      </c>
      <c r="C133" s="55">
        <v>2</v>
      </c>
      <c r="D133" s="54" t="s">
        <v>816</v>
      </c>
      <c r="E133" s="53">
        <f t="shared" si="4"/>
        <v>0</v>
      </c>
      <c r="F133" s="53">
        <f t="shared" si="5"/>
        <v>89</v>
      </c>
    </row>
    <row r="134" spans="1:6" ht="23.25" thickBot="1" x14ac:dyDescent="0.3">
      <c r="A134" s="54" t="s">
        <v>90</v>
      </c>
      <c r="B134" s="54" t="s">
        <v>131</v>
      </c>
      <c r="C134" s="55">
        <v>3</v>
      </c>
      <c r="D134" s="54" t="s">
        <v>816</v>
      </c>
      <c r="E134" s="53">
        <f t="shared" si="4"/>
        <v>0</v>
      </c>
      <c r="F134" s="53">
        <f t="shared" si="5"/>
        <v>89</v>
      </c>
    </row>
    <row r="135" spans="1:6" ht="23.25" thickBot="1" x14ac:dyDescent="0.3">
      <c r="A135" s="54" t="s">
        <v>90</v>
      </c>
      <c r="B135" s="54" t="s">
        <v>131</v>
      </c>
      <c r="C135" s="55">
        <v>4</v>
      </c>
      <c r="D135" s="54" t="s">
        <v>817</v>
      </c>
      <c r="E135" s="53">
        <f t="shared" si="4"/>
        <v>0</v>
      </c>
      <c r="F135" s="53">
        <f t="shared" si="5"/>
        <v>64</v>
      </c>
    </row>
    <row r="136" spans="1:6" ht="23.25" thickBot="1" x14ac:dyDescent="0.3">
      <c r="A136" s="54" t="s">
        <v>90</v>
      </c>
      <c r="B136" s="54" t="s">
        <v>131</v>
      </c>
      <c r="C136" s="55">
        <v>5</v>
      </c>
      <c r="D136" s="54" t="s">
        <v>784</v>
      </c>
      <c r="E136" s="53">
        <f t="shared" si="4"/>
        <v>0</v>
      </c>
      <c r="F136" s="53">
        <f t="shared" si="5"/>
        <v>51</v>
      </c>
    </row>
    <row r="137" spans="1:6" ht="23.25" thickBot="1" x14ac:dyDescent="0.3">
      <c r="A137" s="54" t="s">
        <v>90</v>
      </c>
      <c r="B137" s="54" t="s">
        <v>131</v>
      </c>
      <c r="C137" s="55">
        <v>6</v>
      </c>
      <c r="D137" s="54" t="s">
        <v>784</v>
      </c>
      <c r="E137" s="53">
        <f t="shared" si="4"/>
        <v>0</v>
      </c>
      <c r="F137" s="53">
        <f t="shared" si="5"/>
        <v>51</v>
      </c>
    </row>
    <row r="138" spans="1:6" ht="23.25" thickBot="1" x14ac:dyDescent="0.3">
      <c r="A138" s="54" t="s">
        <v>90</v>
      </c>
      <c r="B138" s="54" t="s">
        <v>131</v>
      </c>
      <c r="C138" s="55">
        <v>7</v>
      </c>
      <c r="D138" s="54" t="s">
        <v>785</v>
      </c>
      <c r="E138" s="53">
        <f t="shared" si="4"/>
        <v>0</v>
      </c>
      <c r="F138" s="53">
        <f t="shared" si="5"/>
        <v>63</v>
      </c>
    </row>
    <row r="139" spans="1:6" ht="23.25" thickBot="1" x14ac:dyDescent="0.3">
      <c r="A139" s="54" t="s">
        <v>90</v>
      </c>
      <c r="B139" s="54" t="s">
        <v>131</v>
      </c>
      <c r="C139" s="55">
        <v>8</v>
      </c>
      <c r="D139" s="54" t="s">
        <v>837</v>
      </c>
      <c r="E139" s="53">
        <f t="shared" si="4"/>
        <v>0</v>
      </c>
      <c r="F139" s="53">
        <f t="shared" si="5"/>
        <v>77</v>
      </c>
    </row>
    <row r="140" spans="1:6" ht="23.25" thickBot="1" x14ac:dyDescent="0.3">
      <c r="A140" s="54" t="s">
        <v>90</v>
      </c>
      <c r="B140" s="54" t="s">
        <v>131</v>
      </c>
      <c r="C140" s="55">
        <v>9</v>
      </c>
      <c r="D140" s="54" t="s">
        <v>837</v>
      </c>
      <c r="E140" s="53">
        <f t="shared" si="4"/>
        <v>0</v>
      </c>
      <c r="F140" s="53">
        <f t="shared" si="5"/>
        <v>77</v>
      </c>
    </row>
    <row r="141" spans="1:6" ht="23.25" thickBot="1" x14ac:dyDescent="0.3">
      <c r="A141" s="54" t="s">
        <v>90</v>
      </c>
      <c r="B141" s="54" t="s">
        <v>131</v>
      </c>
      <c r="C141" s="55">
        <v>10</v>
      </c>
      <c r="D141" s="54" t="s">
        <v>837</v>
      </c>
      <c r="E141" s="53">
        <f t="shared" si="4"/>
        <v>0</v>
      </c>
      <c r="F141" s="53">
        <f t="shared" si="5"/>
        <v>77</v>
      </c>
    </row>
    <row r="142" spans="1:6" ht="23.25" thickBot="1" x14ac:dyDescent="0.3">
      <c r="A142" s="54" t="s">
        <v>90</v>
      </c>
      <c r="B142" s="54" t="s">
        <v>132</v>
      </c>
      <c r="C142" s="55">
        <v>1</v>
      </c>
      <c r="D142" s="54" t="s">
        <v>786</v>
      </c>
      <c r="E142" s="53">
        <f t="shared" si="4"/>
        <v>0</v>
      </c>
      <c r="F142" s="53">
        <f t="shared" si="5"/>
        <v>71</v>
      </c>
    </row>
    <row r="143" spans="1:6" ht="23.25" thickBot="1" x14ac:dyDescent="0.3">
      <c r="A143" s="54" t="s">
        <v>90</v>
      </c>
      <c r="B143" s="54" t="s">
        <v>132</v>
      </c>
      <c r="C143" s="55">
        <v>2</v>
      </c>
      <c r="D143" s="54" t="s">
        <v>786</v>
      </c>
      <c r="E143" s="53">
        <f t="shared" si="4"/>
        <v>0</v>
      </c>
      <c r="F143" s="53">
        <f t="shared" si="5"/>
        <v>71</v>
      </c>
    </row>
    <row r="144" spans="1:6" ht="23.25" thickBot="1" x14ac:dyDescent="0.3">
      <c r="A144" s="54" t="s">
        <v>90</v>
      </c>
      <c r="B144" s="54" t="s">
        <v>132</v>
      </c>
      <c r="C144" s="55">
        <v>3</v>
      </c>
      <c r="D144" s="54" t="s">
        <v>786</v>
      </c>
      <c r="E144" s="53">
        <f t="shared" si="4"/>
        <v>0</v>
      </c>
      <c r="F144" s="53">
        <f t="shared" si="5"/>
        <v>71</v>
      </c>
    </row>
    <row r="145" spans="1:6" ht="23.25" thickBot="1" x14ac:dyDescent="0.3">
      <c r="A145" s="54" t="s">
        <v>90</v>
      </c>
      <c r="B145" s="54" t="s">
        <v>132</v>
      </c>
      <c r="C145" s="55">
        <v>4</v>
      </c>
      <c r="D145" s="54" t="s">
        <v>786</v>
      </c>
      <c r="E145" s="53">
        <f t="shared" si="4"/>
        <v>0</v>
      </c>
      <c r="F145" s="53">
        <f t="shared" si="5"/>
        <v>71</v>
      </c>
    </row>
    <row r="146" spans="1:6" ht="23.25" thickBot="1" x14ac:dyDescent="0.3">
      <c r="A146" s="54" t="s">
        <v>90</v>
      </c>
      <c r="B146" s="54" t="s">
        <v>132</v>
      </c>
      <c r="C146" s="55">
        <v>5</v>
      </c>
      <c r="D146" s="54" t="s">
        <v>133</v>
      </c>
      <c r="E146" s="53">
        <f t="shared" si="4"/>
        <v>0</v>
      </c>
      <c r="F146" s="53">
        <f t="shared" si="5"/>
        <v>66</v>
      </c>
    </row>
    <row r="147" spans="1:6" ht="23.25" thickBot="1" x14ac:dyDescent="0.3">
      <c r="A147" s="54" t="s">
        <v>90</v>
      </c>
      <c r="B147" s="54" t="s">
        <v>132</v>
      </c>
      <c r="C147" s="55">
        <v>6</v>
      </c>
      <c r="D147" s="54" t="s">
        <v>133</v>
      </c>
      <c r="E147" s="53">
        <f t="shared" si="4"/>
        <v>0</v>
      </c>
      <c r="F147" s="53">
        <f t="shared" si="5"/>
        <v>66</v>
      </c>
    </row>
    <row r="148" spans="1:6" ht="23.25" thickBot="1" x14ac:dyDescent="0.3">
      <c r="A148" s="54" t="s">
        <v>90</v>
      </c>
      <c r="B148" s="54" t="s">
        <v>132</v>
      </c>
      <c r="C148" s="55">
        <v>7</v>
      </c>
      <c r="D148" s="58" t="s">
        <v>134</v>
      </c>
      <c r="E148" s="53">
        <f t="shared" si="4"/>
        <v>0</v>
      </c>
      <c r="F148" s="53">
        <f t="shared" si="5"/>
        <v>75</v>
      </c>
    </row>
    <row r="149" spans="1:6" ht="23.25" thickBot="1" x14ac:dyDescent="0.3">
      <c r="A149" s="54" t="s">
        <v>90</v>
      </c>
      <c r="B149" s="54" t="s">
        <v>132</v>
      </c>
      <c r="C149" s="55">
        <v>8</v>
      </c>
      <c r="D149" s="58" t="s">
        <v>134</v>
      </c>
      <c r="E149" s="53">
        <f t="shared" si="4"/>
        <v>0</v>
      </c>
      <c r="F149" s="53">
        <f t="shared" si="5"/>
        <v>75</v>
      </c>
    </row>
    <row r="150" spans="1:6" ht="23.25" thickBot="1" x14ac:dyDescent="0.3">
      <c r="A150" s="54" t="s">
        <v>90</v>
      </c>
      <c r="B150" s="54" t="s">
        <v>132</v>
      </c>
      <c r="C150" s="55">
        <v>9</v>
      </c>
      <c r="D150" s="58" t="s">
        <v>135</v>
      </c>
      <c r="E150" s="53">
        <f t="shared" si="4"/>
        <v>0</v>
      </c>
      <c r="F150" s="53">
        <f t="shared" si="5"/>
        <v>89</v>
      </c>
    </row>
    <row r="151" spans="1:6" ht="23.25" thickBot="1" x14ac:dyDescent="0.3">
      <c r="A151" s="54" t="s">
        <v>90</v>
      </c>
      <c r="B151" s="54" t="s">
        <v>132</v>
      </c>
      <c r="C151" s="55">
        <v>10</v>
      </c>
      <c r="D151" s="58" t="s">
        <v>135</v>
      </c>
      <c r="E151" s="53">
        <f t="shared" si="4"/>
        <v>0</v>
      </c>
      <c r="F151" s="53">
        <f t="shared" si="5"/>
        <v>89</v>
      </c>
    </row>
    <row r="152" spans="1:6" ht="23.25" thickBot="1" x14ac:dyDescent="0.3">
      <c r="A152" s="54" t="s">
        <v>136</v>
      </c>
      <c r="B152" s="54" t="s">
        <v>137</v>
      </c>
      <c r="C152" s="55">
        <v>1</v>
      </c>
      <c r="D152" s="54" t="s">
        <v>138</v>
      </c>
      <c r="E152" s="53">
        <f t="shared" si="4"/>
        <v>0</v>
      </c>
      <c r="F152" s="53">
        <f t="shared" si="5"/>
        <v>100</v>
      </c>
    </row>
    <row r="153" spans="1:6" ht="23.25" thickBot="1" x14ac:dyDescent="0.3">
      <c r="A153" s="54" t="s">
        <v>136</v>
      </c>
      <c r="B153" s="54" t="s">
        <v>137</v>
      </c>
      <c r="C153" s="55">
        <v>2</v>
      </c>
      <c r="D153" s="54" t="s">
        <v>138</v>
      </c>
      <c r="E153" s="53">
        <f t="shared" si="4"/>
        <v>0</v>
      </c>
      <c r="F153" s="53">
        <f t="shared" si="5"/>
        <v>100</v>
      </c>
    </row>
    <row r="154" spans="1:6" ht="23.25" thickBot="1" x14ac:dyDescent="0.3">
      <c r="A154" s="54" t="s">
        <v>136</v>
      </c>
      <c r="B154" s="54" t="s">
        <v>137</v>
      </c>
      <c r="C154" s="55">
        <v>3</v>
      </c>
      <c r="D154" s="54" t="s">
        <v>138</v>
      </c>
      <c r="E154" s="53">
        <f t="shared" si="4"/>
        <v>0</v>
      </c>
      <c r="F154" s="53">
        <f t="shared" si="5"/>
        <v>100</v>
      </c>
    </row>
    <row r="155" spans="1:6" ht="23.25" thickBot="1" x14ac:dyDescent="0.3">
      <c r="A155" s="54" t="s">
        <v>136</v>
      </c>
      <c r="B155" s="54" t="s">
        <v>137</v>
      </c>
      <c r="C155" s="55">
        <v>4</v>
      </c>
      <c r="D155" s="54" t="s">
        <v>138</v>
      </c>
      <c r="E155" s="53">
        <f t="shared" si="4"/>
        <v>0</v>
      </c>
      <c r="F155" s="53">
        <f t="shared" si="5"/>
        <v>100</v>
      </c>
    </row>
    <row r="156" spans="1:6" ht="23.25" thickBot="1" x14ac:dyDescent="0.3">
      <c r="A156" s="54" t="s">
        <v>136</v>
      </c>
      <c r="B156" s="54" t="s">
        <v>137</v>
      </c>
      <c r="C156" s="55">
        <v>5</v>
      </c>
      <c r="D156" s="54" t="s">
        <v>139</v>
      </c>
      <c r="E156" s="53">
        <f t="shared" si="4"/>
        <v>0</v>
      </c>
      <c r="F156" s="53">
        <f t="shared" si="5"/>
        <v>83</v>
      </c>
    </row>
    <row r="157" spans="1:6" ht="23.25" thickBot="1" x14ac:dyDescent="0.3">
      <c r="A157" s="54" t="s">
        <v>136</v>
      </c>
      <c r="B157" s="54" t="s">
        <v>137</v>
      </c>
      <c r="C157" s="55">
        <v>6</v>
      </c>
      <c r="D157" s="54" t="s">
        <v>139</v>
      </c>
      <c r="E157" s="53">
        <f t="shared" si="4"/>
        <v>0</v>
      </c>
      <c r="F157" s="53">
        <f t="shared" si="5"/>
        <v>83</v>
      </c>
    </row>
    <row r="158" spans="1:6" ht="23.25" thickBot="1" x14ac:dyDescent="0.3">
      <c r="A158" s="54" t="s">
        <v>136</v>
      </c>
      <c r="B158" s="54" t="s">
        <v>137</v>
      </c>
      <c r="C158" s="55">
        <v>7</v>
      </c>
      <c r="D158" s="54" t="s">
        <v>139</v>
      </c>
      <c r="E158" s="53">
        <f t="shared" si="4"/>
        <v>0</v>
      </c>
      <c r="F158" s="53">
        <f t="shared" si="5"/>
        <v>83</v>
      </c>
    </row>
    <row r="159" spans="1:6" ht="23.25" thickBot="1" x14ac:dyDescent="0.3">
      <c r="A159" s="54" t="s">
        <v>136</v>
      </c>
      <c r="B159" s="54" t="s">
        <v>137</v>
      </c>
      <c r="C159" s="55">
        <v>8</v>
      </c>
      <c r="D159" s="54" t="s">
        <v>787</v>
      </c>
      <c r="E159" s="53">
        <f t="shared" si="4"/>
        <v>0</v>
      </c>
      <c r="F159" s="53">
        <f t="shared" si="5"/>
        <v>110</v>
      </c>
    </row>
    <row r="160" spans="1:6" ht="23.25" thickBot="1" x14ac:dyDescent="0.3">
      <c r="A160" s="54" t="s">
        <v>136</v>
      </c>
      <c r="B160" s="54" t="s">
        <v>137</v>
      </c>
      <c r="C160" s="55">
        <v>9</v>
      </c>
      <c r="D160" s="54" t="s">
        <v>787</v>
      </c>
      <c r="E160" s="53">
        <f t="shared" si="4"/>
        <v>0</v>
      </c>
      <c r="F160" s="53">
        <f t="shared" si="5"/>
        <v>110</v>
      </c>
    </row>
    <row r="161" spans="1:6" ht="23.25" thickBot="1" x14ac:dyDescent="0.3">
      <c r="A161" s="54" t="s">
        <v>136</v>
      </c>
      <c r="B161" s="54" t="s">
        <v>137</v>
      </c>
      <c r="C161" s="55">
        <v>10</v>
      </c>
      <c r="D161" s="54" t="s">
        <v>787</v>
      </c>
      <c r="E161" s="53">
        <f t="shared" si="4"/>
        <v>0</v>
      </c>
      <c r="F161" s="53">
        <f t="shared" si="5"/>
        <v>110</v>
      </c>
    </row>
    <row r="162" spans="1:6" ht="23.25" thickBot="1" x14ac:dyDescent="0.3">
      <c r="A162" s="54" t="s">
        <v>136</v>
      </c>
      <c r="B162" s="54" t="s">
        <v>140</v>
      </c>
      <c r="C162" s="55">
        <v>1</v>
      </c>
      <c r="D162" s="54" t="s">
        <v>141</v>
      </c>
      <c r="E162" s="53">
        <f t="shared" si="4"/>
        <v>0</v>
      </c>
      <c r="F162" s="53">
        <f t="shared" si="5"/>
        <v>77</v>
      </c>
    </row>
    <row r="163" spans="1:6" ht="23.25" thickBot="1" x14ac:dyDescent="0.3">
      <c r="A163" s="54" t="s">
        <v>136</v>
      </c>
      <c r="B163" s="54" t="s">
        <v>140</v>
      </c>
      <c r="C163" s="55">
        <v>2</v>
      </c>
      <c r="D163" s="54" t="s">
        <v>141</v>
      </c>
      <c r="E163" s="53">
        <f t="shared" si="4"/>
        <v>0</v>
      </c>
      <c r="F163" s="53">
        <f t="shared" si="5"/>
        <v>77</v>
      </c>
    </row>
    <row r="164" spans="1:6" ht="23.25" thickBot="1" x14ac:dyDescent="0.3">
      <c r="A164" s="54" t="s">
        <v>136</v>
      </c>
      <c r="B164" s="54" t="s">
        <v>140</v>
      </c>
      <c r="C164" s="55">
        <v>3</v>
      </c>
      <c r="D164" s="54" t="s">
        <v>203</v>
      </c>
      <c r="E164" s="53">
        <f t="shared" si="4"/>
        <v>0</v>
      </c>
      <c r="F164" s="53">
        <f t="shared" si="5"/>
        <v>101</v>
      </c>
    </row>
    <row r="165" spans="1:6" ht="23.25" thickBot="1" x14ac:dyDescent="0.3">
      <c r="A165" s="54" t="s">
        <v>136</v>
      </c>
      <c r="B165" s="54" t="s">
        <v>140</v>
      </c>
      <c r="C165" s="55">
        <v>4</v>
      </c>
      <c r="D165" s="54" t="s">
        <v>204</v>
      </c>
      <c r="E165" s="53">
        <f t="shared" si="4"/>
        <v>0</v>
      </c>
      <c r="F165" s="53">
        <f t="shared" si="5"/>
        <v>65</v>
      </c>
    </row>
    <row r="166" spans="1:6" ht="23.25" thickBot="1" x14ac:dyDescent="0.3">
      <c r="A166" s="54" t="s">
        <v>136</v>
      </c>
      <c r="B166" s="54" t="s">
        <v>140</v>
      </c>
      <c r="C166" s="55">
        <v>5</v>
      </c>
      <c r="D166" s="54" t="s">
        <v>204</v>
      </c>
      <c r="E166" s="53">
        <f t="shared" si="4"/>
        <v>0</v>
      </c>
      <c r="F166" s="53">
        <f t="shared" si="5"/>
        <v>65</v>
      </c>
    </row>
    <row r="167" spans="1:6" ht="23.25" thickBot="1" x14ac:dyDescent="0.3">
      <c r="A167" s="54" t="s">
        <v>136</v>
      </c>
      <c r="B167" s="54" t="s">
        <v>140</v>
      </c>
      <c r="C167" s="55">
        <v>6</v>
      </c>
      <c r="D167" s="54" t="s">
        <v>205</v>
      </c>
      <c r="E167" s="53">
        <f t="shared" si="4"/>
        <v>0</v>
      </c>
      <c r="F167" s="53">
        <f t="shared" si="5"/>
        <v>104</v>
      </c>
    </row>
    <row r="168" spans="1:6" ht="23.25" thickBot="1" x14ac:dyDescent="0.3">
      <c r="A168" s="54" t="s">
        <v>136</v>
      </c>
      <c r="B168" s="54" t="s">
        <v>140</v>
      </c>
      <c r="C168" s="55">
        <v>7</v>
      </c>
      <c r="D168" s="54" t="s">
        <v>205</v>
      </c>
      <c r="E168" s="53">
        <f t="shared" si="4"/>
        <v>0</v>
      </c>
      <c r="F168" s="53">
        <f t="shared" si="5"/>
        <v>104</v>
      </c>
    </row>
    <row r="169" spans="1:6" ht="23.25" thickBot="1" x14ac:dyDescent="0.3">
      <c r="A169" s="54" t="s">
        <v>136</v>
      </c>
      <c r="B169" s="54" t="s">
        <v>140</v>
      </c>
      <c r="C169" s="55">
        <v>8</v>
      </c>
      <c r="D169" s="54" t="s">
        <v>142</v>
      </c>
      <c r="E169" s="53">
        <f t="shared" si="4"/>
        <v>0</v>
      </c>
      <c r="F169" s="53">
        <f t="shared" si="5"/>
        <v>119</v>
      </c>
    </row>
    <row r="170" spans="1:6" ht="23.25" thickBot="1" x14ac:dyDescent="0.3">
      <c r="A170" s="54" t="s">
        <v>136</v>
      </c>
      <c r="B170" s="54" t="s">
        <v>140</v>
      </c>
      <c r="C170" s="55">
        <v>9</v>
      </c>
      <c r="D170" s="54" t="s">
        <v>142</v>
      </c>
      <c r="E170" s="53">
        <f t="shared" si="4"/>
        <v>0</v>
      </c>
      <c r="F170" s="53">
        <f t="shared" si="5"/>
        <v>119</v>
      </c>
    </row>
    <row r="171" spans="1:6" ht="23.25" thickBot="1" x14ac:dyDescent="0.3">
      <c r="A171" s="54" t="s">
        <v>136</v>
      </c>
      <c r="B171" s="54" t="s">
        <v>140</v>
      </c>
      <c r="C171" s="55">
        <v>10</v>
      </c>
      <c r="D171" s="54" t="s">
        <v>142</v>
      </c>
      <c r="E171" s="53">
        <f t="shared" si="4"/>
        <v>0</v>
      </c>
      <c r="F171" s="53">
        <f t="shared" si="5"/>
        <v>119</v>
      </c>
    </row>
    <row r="172" spans="1:6" ht="23.25" thickBot="1" x14ac:dyDescent="0.3">
      <c r="A172" s="54" t="s">
        <v>136</v>
      </c>
      <c r="B172" s="54" t="s">
        <v>143</v>
      </c>
      <c r="C172" s="55">
        <v>1</v>
      </c>
      <c r="D172" s="54" t="s">
        <v>144</v>
      </c>
      <c r="E172" s="53">
        <f t="shared" si="4"/>
        <v>0</v>
      </c>
      <c r="F172" s="53">
        <f t="shared" si="5"/>
        <v>51</v>
      </c>
    </row>
    <row r="173" spans="1:6" ht="23.25" thickBot="1" x14ac:dyDescent="0.3">
      <c r="A173" s="54" t="s">
        <v>136</v>
      </c>
      <c r="B173" s="54" t="s">
        <v>143</v>
      </c>
      <c r="C173" s="55">
        <v>2</v>
      </c>
      <c r="D173" s="54" t="s">
        <v>144</v>
      </c>
      <c r="E173" s="53">
        <f t="shared" si="4"/>
        <v>0</v>
      </c>
      <c r="F173" s="53">
        <f t="shared" si="5"/>
        <v>51</v>
      </c>
    </row>
    <row r="174" spans="1:6" ht="23.25" thickBot="1" x14ac:dyDescent="0.3">
      <c r="A174" s="54" t="s">
        <v>136</v>
      </c>
      <c r="B174" s="54" t="s">
        <v>143</v>
      </c>
      <c r="C174" s="55">
        <v>3</v>
      </c>
      <c r="D174" s="54" t="s">
        <v>145</v>
      </c>
      <c r="E174" s="53">
        <f t="shared" si="4"/>
        <v>0</v>
      </c>
      <c r="F174" s="53">
        <f t="shared" si="5"/>
        <v>95</v>
      </c>
    </row>
    <row r="175" spans="1:6" ht="23.25" thickBot="1" x14ac:dyDescent="0.3">
      <c r="A175" s="54" t="s">
        <v>136</v>
      </c>
      <c r="B175" s="54" t="s">
        <v>143</v>
      </c>
      <c r="C175" s="55">
        <v>4</v>
      </c>
      <c r="D175" s="54" t="s">
        <v>145</v>
      </c>
      <c r="E175" s="53">
        <f t="shared" si="4"/>
        <v>0</v>
      </c>
      <c r="F175" s="53">
        <f t="shared" si="5"/>
        <v>95</v>
      </c>
    </row>
    <row r="176" spans="1:6" ht="23.25" thickBot="1" x14ac:dyDescent="0.3">
      <c r="A176" s="54" t="s">
        <v>136</v>
      </c>
      <c r="B176" s="54" t="s">
        <v>143</v>
      </c>
      <c r="C176" s="55">
        <v>5</v>
      </c>
      <c r="D176" s="54" t="s">
        <v>145</v>
      </c>
      <c r="E176" s="53">
        <f t="shared" si="4"/>
        <v>0</v>
      </c>
      <c r="F176" s="53">
        <f t="shared" si="5"/>
        <v>95</v>
      </c>
    </row>
    <row r="177" spans="1:6" ht="23.25" thickBot="1" x14ac:dyDescent="0.3">
      <c r="A177" s="54" t="s">
        <v>136</v>
      </c>
      <c r="B177" s="54" t="s">
        <v>143</v>
      </c>
      <c r="C177" s="55">
        <v>6</v>
      </c>
      <c r="D177" s="54" t="s">
        <v>145</v>
      </c>
      <c r="E177" s="53">
        <f t="shared" si="4"/>
        <v>0</v>
      </c>
      <c r="F177" s="53">
        <f t="shared" si="5"/>
        <v>95</v>
      </c>
    </row>
    <row r="178" spans="1:6" ht="23.25" thickBot="1" x14ac:dyDescent="0.3">
      <c r="A178" s="54" t="s">
        <v>136</v>
      </c>
      <c r="B178" s="54" t="s">
        <v>143</v>
      </c>
      <c r="C178" s="55">
        <v>7</v>
      </c>
      <c r="D178" s="54" t="s">
        <v>206</v>
      </c>
      <c r="E178" s="53">
        <f t="shared" si="4"/>
        <v>0</v>
      </c>
      <c r="F178" s="53">
        <f t="shared" si="5"/>
        <v>89</v>
      </c>
    </row>
    <row r="179" spans="1:6" ht="23.25" thickBot="1" x14ac:dyDescent="0.3">
      <c r="A179" s="54" t="s">
        <v>136</v>
      </c>
      <c r="B179" s="54" t="s">
        <v>143</v>
      </c>
      <c r="C179" s="55">
        <v>8</v>
      </c>
      <c r="D179" s="54" t="s">
        <v>146</v>
      </c>
      <c r="E179" s="53">
        <f t="shared" si="4"/>
        <v>0</v>
      </c>
      <c r="F179" s="53">
        <f t="shared" si="5"/>
        <v>104</v>
      </c>
    </row>
    <row r="180" spans="1:6" ht="23.25" thickBot="1" x14ac:dyDescent="0.3">
      <c r="A180" s="54" t="s">
        <v>136</v>
      </c>
      <c r="B180" s="54" t="s">
        <v>143</v>
      </c>
      <c r="C180" s="55">
        <v>9</v>
      </c>
      <c r="D180" s="54" t="s">
        <v>146</v>
      </c>
      <c r="E180" s="53">
        <f t="shared" si="4"/>
        <v>0</v>
      </c>
      <c r="F180" s="53">
        <f t="shared" si="5"/>
        <v>104</v>
      </c>
    </row>
    <row r="181" spans="1:6" ht="23.25" thickBot="1" x14ac:dyDescent="0.3">
      <c r="A181" s="54" t="s">
        <v>136</v>
      </c>
      <c r="B181" s="54" t="s">
        <v>143</v>
      </c>
      <c r="C181" s="55">
        <v>10</v>
      </c>
      <c r="D181" s="54" t="s">
        <v>146</v>
      </c>
      <c r="E181" s="53">
        <f t="shared" si="4"/>
        <v>0</v>
      </c>
      <c r="F181" s="53">
        <f t="shared" si="5"/>
        <v>104</v>
      </c>
    </row>
    <row r="182" spans="1:6" ht="23.25" thickBot="1" x14ac:dyDescent="0.3">
      <c r="A182" s="54" t="s">
        <v>136</v>
      </c>
      <c r="B182" s="54" t="s">
        <v>147</v>
      </c>
      <c r="C182" s="55">
        <v>1</v>
      </c>
      <c r="D182" s="54" t="s">
        <v>207</v>
      </c>
      <c r="E182" s="53">
        <f t="shared" si="4"/>
        <v>0</v>
      </c>
      <c r="F182" s="53">
        <f t="shared" si="5"/>
        <v>143</v>
      </c>
    </row>
    <row r="183" spans="1:6" ht="23.25" thickBot="1" x14ac:dyDescent="0.3">
      <c r="A183" s="54" t="s">
        <v>136</v>
      </c>
      <c r="B183" s="54" t="s">
        <v>147</v>
      </c>
      <c r="C183" s="55">
        <v>2</v>
      </c>
      <c r="D183" s="54" t="s">
        <v>207</v>
      </c>
      <c r="E183" s="53">
        <f t="shared" si="4"/>
        <v>0</v>
      </c>
      <c r="F183" s="53">
        <f t="shared" si="5"/>
        <v>143</v>
      </c>
    </row>
    <row r="184" spans="1:6" ht="23.25" thickBot="1" x14ac:dyDescent="0.3">
      <c r="A184" s="54" t="s">
        <v>136</v>
      </c>
      <c r="B184" s="54" t="s">
        <v>147</v>
      </c>
      <c r="C184" s="55">
        <v>3</v>
      </c>
      <c r="D184" s="54" t="s">
        <v>208</v>
      </c>
      <c r="E184" s="53">
        <f t="shared" si="4"/>
        <v>0</v>
      </c>
      <c r="F184" s="53">
        <f t="shared" si="5"/>
        <v>119</v>
      </c>
    </row>
    <row r="185" spans="1:6" ht="23.25" thickBot="1" x14ac:dyDescent="0.3">
      <c r="A185" s="54" t="s">
        <v>136</v>
      </c>
      <c r="B185" s="54" t="s">
        <v>147</v>
      </c>
      <c r="C185" s="55">
        <v>4</v>
      </c>
      <c r="D185" s="54" t="s">
        <v>209</v>
      </c>
      <c r="E185" s="53">
        <f t="shared" si="4"/>
        <v>0</v>
      </c>
      <c r="F185" s="53">
        <f t="shared" si="5"/>
        <v>112</v>
      </c>
    </row>
    <row r="186" spans="1:6" ht="23.25" thickBot="1" x14ac:dyDescent="0.3">
      <c r="A186" s="54" t="s">
        <v>136</v>
      </c>
      <c r="B186" s="54" t="s">
        <v>147</v>
      </c>
      <c r="C186" s="55">
        <v>5</v>
      </c>
      <c r="D186" s="54" t="s">
        <v>209</v>
      </c>
      <c r="E186" s="53">
        <f t="shared" si="4"/>
        <v>0</v>
      </c>
      <c r="F186" s="53">
        <f t="shared" si="5"/>
        <v>112</v>
      </c>
    </row>
    <row r="187" spans="1:6" ht="23.25" thickBot="1" x14ac:dyDescent="0.3">
      <c r="A187" s="54" t="s">
        <v>136</v>
      </c>
      <c r="B187" s="54" t="s">
        <v>147</v>
      </c>
      <c r="C187" s="55">
        <v>6</v>
      </c>
      <c r="D187" s="54" t="s">
        <v>209</v>
      </c>
      <c r="E187" s="53">
        <f t="shared" si="4"/>
        <v>0</v>
      </c>
      <c r="F187" s="53">
        <f t="shared" si="5"/>
        <v>112</v>
      </c>
    </row>
    <row r="188" spans="1:6" ht="23.25" thickBot="1" x14ac:dyDescent="0.3">
      <c r="A188" s="54" t="s">
        <v>136</v>
      </c>
      <c r="B188" s="54" t="s">
        <v>147</v>
      </c>
      <c r="C188" s="55">
        <v>7</v>
      </c>
      <c r="D188" s="54" t="s">
        <v>148</v>
      </c>
      <c r="E188" s="53">
        <f t="shared" si="4"/>
        <v>0</v>
      </c>
      <c r="F188" s="53">
        <f t="shared" si="5"/>
        <v>141</v>
      </c>
    </row>
    <row r="189" spans="1:6" ht="23.25" thickBot="1" x14ac:dyDescent="0.3">
      <c r="A189" s="54" t="s">
        <v>136</v>
      </c>
      <c r="B189" s="54" t="s">
        <v>147</v>
      </c>
      <c r="C189" s="55">
        <v>8</v>
      </c>
      <c r="D189" s="54" t="s">
        <v>149</v>
      </c>
      <c r="E189" s="53">
        <f t="shared" si="4"/>
        <v>0</v>
      </c>
      <c r="F189" s="53">
        <f t="shared" si="5"/>
        <v>135</v>
      </c>
    </row>
    <row r="190" spans="1:6" ht="23.25" thickBot="1" x14ac:dyDescent="0.3">
      <c r="A190" s="54" t="s">
        <v>136</v>
      </c>
      <c r="B190" s="54" t="s">
        <v>147</v>
      </c>
      <c r="C190" s="55">
        <v>9</v>
      </c>
      <c r="D190" s="54" t="s">
        <v>149</v>
      </c>
      <c r="E190" s="53">
        <f t="shared" si="4"/>
        <v>0</v>
      </c>
      <c r="F190" s="53">
        <f t="shared" si="5"/>
        <v>135</v>
      </c>
    </row>
    <row r="191" spans="1:6" ht="23.25" thickBot="1" x14ac:dyDescent="0.3">
      <c r="A191" s="54" t="s">
        <v>136</v>
      </c>
      <c r="B191" s="54" t="s">
        <v>147</v>
      </c>
      <c r="C191" s="55">
        <v>10</v>
      </c>
      <c r="D191" s="54" t="s">
        <v>149</v>
      </c>
      <c r="E191" s="53">
        <f t="shared" si="4"/>
        <v>0</v>
      </c>
      <c r="F191" s="53">
        <f t="shared" si="5"/>
        <v>135</v>
      </c>
    </row>
    <row r="192" spans="1:6" ht="23.25" thickBot="1" x14ac:dyDescent="0.3">
      <c r="A192" s="54" t="s">
        <v>136</v>
      </c>
      <c r="B192" s="54" t="s">
        <v>0</v>
      </c>
      <c r="C192" s="55">
        <v>1</v>
      </c>
      <c r="D192" s="54" t="s">
        <v>249</v>
      </c>
      <c r="E192" s="53">
        <f t="shared" si="4"/>
        <v>0</v>
      </c>
      <c r="F192" s="53">
        <f t="shared" si="5"/>
        <v>100</v>
      </c>
    </row>
    <row r="193" spans="1:6" ht="23.25" thickBot="1" x14ac:dyDescent="0.3">
      <c r="A193" s="54" t="s">
        <v>136</v>
      </c>
      <c r="B193" s="54" t="s">
        <v>0</v>
      </c>
      <c r="C193" s="55">
        <v>2</v>
      </c>
      <c r="D193" s="54" t="s">
        <v>249</v>
      </c>
      <c r="E193" s="53">
        <f t="shared" si="4"/>
        <v>0</v>
      </c>
      <c r="F193" s="53">
        <f t="shared" si="5"/>
        <v>100</v>
      </c>
    </row>
    <row r="194" spans="1:6" ht="23.25" thickBot="1" x14ac:dyDescent="0.3">
      <c r="A194" s="54" t="s">
        <v>136</v>
      </c>
      <c r="B194" s="54" t="s">
        <v>0</v>
      </c>
      <c r="C194" s="55">
        <v>3</v>
      </c>
      <c r="D194" s="54" t="s">
        <v>210</v>
      </c>
      <c r="E194" s="53">
        <f t="shared" si="4"/>
        <v>0</v>
      </c>
      <c r="F194" s="53">
        <f t="shared" si="5"/>
        <v>101</v>
      </c>
    </row>
    <row r="195" spans="1:6" ht="23.25" thickBot="1" x14ac:dyDescent="0.3">
      <c r="A195" s="54" t="s">
        <v>136</v>
      </c>
      <c r="B195" s="54" t="s">
        <v>0</v>
      </c>
      <c r="C195" s="55">
        <v>4</v>
      </c>
      <c r="D195" s="54" t="s">
        <v>210</v>
      </c>
      <c r="E195" s="53">
        <f t="shared" ref="E195:E258" si="6">IF(LEN(D195)&lt;170,0,1)</f>
        <v>0</v>
      </c>
      <c r="F195" s="53">
        <f t="shared" ref="F195:F258" si="7">LEN(D195)</f>
        <v>101</v>
      </c>
    </row>
    <row r="196" spans="1:6" ht="23.25" thickBot="1" x14ac:dyDescent="0.3">
      <c r="A196" s="54" t="s">
        <v>136</v>
      </c>
      <c r="B196" s="54" t="s">
        <v>0</v>
      </c>
      <c r="C196" s="55">
        <v>5</v>
      </c>
      <c r="D196" s="54" t="s">
        <v>210</v>
      </c>
      <c r="E196" s="53">
        <f t="shared" si="6"/>
        <v>0</v>
      </c>
      <c r="F196" s="53">
        <f t="shared" si="7"/>
        <v>101</v>
      </c>
    </row>
    <row r="197" spans="1:6" ht="23.25" thickBot="1" x14ac:dyDescent="0.3">
      <c r="A197" s="54" t="s">
        <v>136</v>
      </c>
      <c r="B197" s="54" t="s">
        <v>0</v>
      </c>
      <c r="C197" s="55">
        <v>6</v>
      </c>
      <c r="D197" s="54" t="s">
        <v>210</v>
      </c>
      <c r="E197" s="53">
        <f t="shared" si="6"/>
        <v>0</v>
      </c>
      <c r="F197" s="53">
        <f t="shared" si="7"/>
        <v>101</v>
      </c>
    </row>
    <row r="198" spans="1:6" ht="23.25" thickBot="1" x14ac:dyDescent="0.3">
      <c r="A198" s="54" t="s">
        <v>136</v>
      </c>
      <c r="B198" s="54" t="s">
        <v>0</v>
      </c>
      <c r="C198" s="55">
        <v>7</v>
      </c>
      <c r="D198" s="54" t="s">
        <v>150</v>
      </c>
      <c r="E198" s="53">
        <f t="shared" si="6"/>
        <v>0</v>
      </c>
      <c r="F198" s="53">
        <f t="shared" si="7"/>
        <v>114</v>
      </c>
    </row>
    <row r="199" spans="1:6" ht="23.25" thickBot="1" x14ac:dyDescent="0.3">
      <c r="A199" s="54" t="s">
        <v>136</v>
      </c>
      <c r="B199" s="54" t="s">
        <v>0</v>
      </c>
      <c r="C199" s="55">
        <v>8</v>
      </c>
      <c r="D199" s="54" t="s">
        <v>150</v>
      </c>
      <c r="E199" s="53">
        <f t="shared" si="6"/>
        <v>0</v>
      </c>
      <c r="F199" s="53">
        <f t="shared" si="7"/>
        <v>114</v>
      </c>
    </row>
    <row r="200" spans="1:6" ht="23.25" thickBot="1" x14ac:dyDescent="0.3">
      <c r="A200" s="54" t="s">
        <v>136</v>
      </c>
      <c r="B200" s="54" t="s">
        <v>0</v>
      </c>
      <c r="C200" s="55">
        <v>9</v>
      </c>
      <c r="D200" s="54" t="s">
        <v>150</v>
      </c>
      <c r="E200" s="53">
        <f t="shared" si="6"/>
        <v>0</v>
      </c>
      <c r="F200" s="53">
        <f t="shared" si="7"/>
        <v>114</v>
      </c>
    </row>
    <row r="201" spans="1:6" ht="23.25" thickBot="1" x14ac:dyDescent="0.3">
      <c r="A201" s="54" t="s">
        <v>136</v>
      </c>
      <c r="B201" s="54" t="s">
        <v>0</v>
      </c>
      <c r="C201" s="55">
        <v>10</v>
      </c>
      <c r="D201" s="54" t="s">
        <v>150</v>
      </c>
      <c r="E201" s="53">
        <f t="shared" si="6"/>
        <v>0</v>
      </c>
      <c r="F201" s="53">
        <f t="shared" si="7"/>
        <v>114</v>
      </c>
    </row>
    <row r="202" spans="1:6" ht="23.25" thickBot="1" x14ac:dyDescent="0.3">
      <c r="A202" s="54" t="s">
        <v>136</v>
      </c>
      <c r="B202" s="54" t="s">
        <v>151</v>
      </c>
      <c r="C202" s="55">
        <v>1</v>
      </c>
      <c r="D202" s="54" t="s">
        <v>152</v>
      </c>
      <c r="E202" s="53">
        <f t="shared" si="6"/>
        <v>0</v>
      </c>
      <c r="F202" s="53">
        <f t="shared" si="7"/>
        <v>63</v>
      </c>
    </row>
    <row r="203" spans="1:6" ht="23.25" thickBot="1" x14ac:dyDescent="0.3">
      <c r="A203" s="54" t="s">
        <v>136</v>
      </c>
      <c r="B203" s="54" t="s">
        <v>151</v>
      </c>
      <c r="C203" s="55">
        <v>2</v>
      </c>
      <c r="D203" s="54" t="s">
        <v>152</v>
      </c>
      <c r="E203" s="53">
        <f t="shared" si="6"/>
        <v>0</v>
      </c>
      <c r="F203" s="53">
        <f t="shared" si="7"/>
        <v>63</v>
      </c>
    </row>
    <row r="204" spans="1:6" ht="23.25" thickBot="1" x14ac:dyDescent="0.3">
      <c r="A204" s="54" t="s">
        <v>136</v>
      </c>
      <c r="B204" s="54" t="s">
        <v>151</v>
      </c>
      <c r="C204" s="55">
        <v>3</v>
      </c>
      <c r="D204" s="54" t="s">
        <v>211</v>
      </c>
      <c r="E204" s="53">
        <f t="shared" si="6"/>
        <v>0</v>
      </c>
      <c r="F204" s="53">
        <f t="shared" si="7"/>
        <v>113</v>
      </c>
    </row>
    <row r="205" spans="1:6" ht="23.25" thickBot="1" x14ac:dyDescent="0.3">
      <c r="A205" s="54" t="s">
        <v>136</v>
      </c>
      <c r="B205" s="54" t="s">
        <v>151</v>
      </c>
      <c r="C205" s="55">
        <v>4</v>
      </c>
      <c r="D205" s="54" t="s">
        <v>211</v>
      </c>
      <c r="E205" s="53">
        <f t="shared" si="6"/>
        <v>0</v>
      </c>
      <c r="F205" s="53">
        <f t="shared" si="7"/>
        <v>113</v>
      </c>
    </row>
    <row r="206" spans="1:6" ht="23.25" thickBot="1" x14ac:dyDescent="0.3">
      <c r="A206" s="54" t="s">
        <v>136</v>
      </c>
      <c r="B206" s="54" t="s">
        <v>151</v>
      </c>
      <c r="C206" s="55">
        <v>5</v>
      </c>
      <c r="D206" s="54" t="s">
        <v>211</v>
      </c>
      <c r="E206" s="53">
        <f t="shared" si="6"/>
        <v>0</v>
      </c>
      <c r="F206" s="53">
        <f t="shared" si="7"/>
        <v>113</v>
      </c>
    </row>
    <row r="207" spans="1:6" ht="23.25" thickBot="1" x14ac:dyDescent="0.3">
      <c r="A207" s="54" t="s">
        <v>136</v>
      </c>
      <c r="B207" s="54" t="s">
        <v>151</v>
      </c>
      <c r="C207" s="55">
        <v>6</v>
      </c>
      <c r="D207" s="54" t="s">
        <v>211</v>
      </c>
      <c r="E207" s="53">
        <f t="shared" si="6"/>
        <v>0</v>
      </c>
      <c r="F207" s="53">
        <f t="shared" si="7"/>
        <v>113</v>
      </c>
    </row>
    <row r="208" spans="1:6" ht="23.25" thickBot="1" x14ac:dyDescent="0.3">
      <c r="A208" s="54" t="s">
        <v>136</v>
      </c>
      <c r="B208" s="54" t="s">
        <v>151</v>
      </c>
      <c r="C208" s="55">
        <v>7</v>
      </c>
      <c r="D208" s="54" t="s">
        <v>153</v>
      </c>
      <c r="E208" s="53">
        <f t="shared" si="6"/>
        <v>0</v>
      </c>
      <c r="F208" s="53">
        <f t="shared" si="7"/>
        <v>124</v>
      </c>
    </row>
    <row r="209" spans="1:6" ht="23.25" thickBot="1" x14ac:dyDescent="0.3">
      <c r="A209" s="54" t="s">
        <v>136</v>
      </c>
      <c r="B209" s="54" t="s">
        <v>151</v>
      </c>
      <c r="C209" s="55">
        <v>8</v>
      </c>
      <c r="D209" s="54" t="s">
        <v>153</v>
      </c>
      <c r="E209" s="53">
        <f t="shared" si="6"/>
        <v>0</v>
      </c>
      <c r="F209" s="53">
        <f t="shared" si="7"/>
        <v>124</v>
      </c>
    </row>
    <row r="210" spans="1:6" ht="23.25" thickBot="1" x14ac:dyDescent="0.3">
      <c r="A210" s="54" t="s">
        <v>136</v>
      </c>
      <c r="B210" s="54" t="s">
        <v>151</v>
      </c>
      <c r="C210" s="55">
        <v>9</v>
      </c>
      <c r="D210" s="54" t="s">
        <v>153</v>
      </c>
      <c r="E210" s="53">
        <f t="shared" si="6"/>
        <v>0</v>
      </c>
      <c r="F210" s="53">
        <f t="shared" si="7"/>
        <v>124</v>
      </c>
    </row>
    <row r="211" spans="1:6" ht="23.25" thickBot="1" x14ac:dyDescent="0.3">
      <c r="A211" s="54" t="s">
        <v>136</v>
      </c>
      <c r="B211" s="54" t="s">
        <v>151</v>
      </c>
      <c r="C211" s="55">
        <v>10</v>
      </c>
      <c r="D211" s="54" t="s">
        <v>153</v>
      </c>
      <c r="E211" s="53">
        <f t="shared" si="6"/>
        <v>0</v>
      </c>
      <c r="F211" s="53">
        <f t="shared" si="7"/>
        <v>124</v>
      </c>
    </row>
    <row r="212" spans="1:6" ht="23.25" thickBot="1" x14ac:dyDescent="0.3">
      <c r="A212" s="54" t="s">
        <v>136</v>
      </c>
      <c r="B212" s="54" t="s">
        <v>154</v>
      </c>
      <c r="C212" s="55">
        <v>1</v>
      </c>
      <c r="D212" s="54" t="s">
        <v>155</v>
      </c>
      <c r="E212" s="53">
        <f t="shared" si="6"/>
        <v>0</v>
      </c>
      <c r="F212" s="53">
        <f t="shared" si="7"/>
        <v>73</v>
      </c>
    </row>
    <row r="213" spans="1:6" ht="23.25" thickBot="1" x14ac:dyDescent="0.3">
      <c r="A213" s="54" t="s">
        <v>136</v>
      </c>
      <c r="B213" s="54" t="s">
        <v>154</v>
      </c>
      <c r="C213" s="55">
        <v>2</v>
      </c>
      <c r="D213" s="54" t="s">
        <v>155</v>
      </c>
      <c r="E213" s="53">
        <f t="shared" si="6"/>
        <v>0</v>
      </c>
      <c r="F213" s="53">
        <f t="shared" si="7"/>
        <v>73</v>
      </c>
    </row>
    <row r="214" spans="1:6" ht="23.25" thickBot="1" x14ac:dyDescent="0.3">
      <c r="A214" s="54" t="s">
        <v>136</v>
      </c>
      <c r="B214" s="54" t="s">
        <v>154</v>
      </c>
      <c r="C214" s="55">
        <v>3</v>
      </c>
      <c r="D214" s="54" t="s">
        <v>212</v>
      </c>
      <c r="E214" s="53">
        <f t="shared" si="6"/>
        <v>0</v>
      </c>
      <c r="F214" s="53">
        <f t="shared" si="7"/>
        <v>116</v>
      </c>
    </row>
    <row r="215" spans="1:6" ht="23.25" thickBot="1" x14ac:dyDescent="0.3">
      <c r="A215" s="54" t="s">
        <v>136</v>
      </c>
      <c r="B215" s="54" t="s">
        <v>154</v>
      </c>
      <c r="C215" s="55">
        <v>4</v>
      </c>
      <c r="D215" s="54" t="s">
        <v>212</v>
      </c>
      <c r="E215" s="53">
        <f t="shared" si="6"/>
        <v>0</v>
      </c>
      <c r="F215" s="53">
        <f t="shared" si="7"/>
        <v>116</v>
      </c>
    </row>
    <row r="216" spans="1:6" ht="23.25" thickBot="1" x14ac:dyDescent="0.3">
      <c r="A216" s="54" t="s">
        <v>136</v>
      </c>
      <c r="B216" s="54" t="s">
        <v>154</v>
      </c>
      <c r="C216" s="55">
        <v>5</v>
      </c>
      <c r="D216" s="54" t="s">
        <v>212</v>
      </c>
      <c r="E216" s="53">
        <f t="shared" si="6"/>
        <v>0</v>
      </c>
      <c r="F216" s="53">
        <f t="shared" si="7"/>
        <v>116</v>
      </c>
    </row>
    <row r="217" spans="1:6" ht="23.25" thickBot="1" x14ac:dyDescent="0.3">
      <c r="A217" s="54" t="s">
        <v>136</v>
      </c>
      <c r="B217" s="54" t="s">
        <v>154</v>
      </c>
      <c r="C217" s="55">
        <v>6</v>
      </c>
      <c r="D217" s="54" t="s">
        <v>212</v>
      </c>
      <c r="E217" s="53">
        <f t="shared" si="6"/>
        <v>0</v>
      </c>
      <c r="F217" s="53">
        <f t="shared" si="7"/>
        <v>116</v>
      </c>
    </row>
    <row r="218" spans="1:6" ht="23.25" thickBot="1" x14ac:dyDescent="0.3">
      <c r="A218" s="54" t="s">
        <v>136</v>
      </c>
      <c r="B218" s="54" t="s">
        <v>154</v>
      </c>
      <c r="C218" s="55">
        <v>7</v>
      </c>
      <c r="D218" s="54" t="s">
        <v>156</v>
      </c>
      <c r="E218" s="53">
        <f t="shared" si="6"/>
        <v>0</v>
      </c>
      <c r="F218" s="53">
        <f t="shared" si="7"/>
        <v>134</v>
      </c>
    </row>
    <row r="219" spans="1:6" ht="23.25" thickBot="1" x14ac:dyDescent="0.3">
      <c r="A219" s="54" t="s">
        <v>136</v>
      </c>
      <c r="B219" s="54" t="s">
        <v>154</v>
      </c>
      <c r="C219" s="55">
        <v>8</v>
      </c>
      <c r="D219" s="54" t="s">
        <v>156</v>
      </c>
      <c r="E219" s="53">
        <f t="shared" si="6"/>
        <v>0</v>
      </c>
      <c r="F219" s="53">
        <f t="shared" si="7"/>
        <v>134</v>
      </c>
    </row>
    <row r="220" spans="1:6" ht="23.25" thickBot="1" x14ac:dyDescent="0.3">
      <c r="A220" s="54" t="s">
        <v>136</v>
      </c>
      <c r="B220" s="54" t="s">
        <v>154</v>
      </c>
      <c r="C220" s="55">
        <v>9</v>
      </c>
      <c r="D220" s="54" t="s">
        <v>156</v>
      </c>
      <c r="E220" s="53">
        <f t="shared" si="6"/>
        <v>0</v>
      </c>
      <c r="F220" s="53">
        <f t="shared" si="7"/>
        <v>134</v>
      </c>
    </row>
    <row r="221" spans="1:6" ht="23.25" thickBot="1" x14ac:dyDescent="0.3">
      <c r="A221" s="54" t="s">
        <v>136</v>
      </c>
      <c r="B221" s="54" t="s">
        <v>154</v>
      </c>
      <c r="C221" s="55">
        <v>10</v>
      </c>
      <c r="D221" s="54" t="s">
        <v>156</v>
      </c>
      <c r="E221" s="53">
        <f t="shared" si="6"/>
        <v>0</v>
      </c>
      <c r="F221" s="53">
        <f t="shared" si="7"/>
        <v>134</v>
      </c>
    </row>
    <row r="222" spans="1:6" ht="23.25" thickBot="1" x14ac:dyDescent="0.3">
      <c r="A222" s="54" t="s">
        <v>136</v>
      </c>
      <c r="B222" s="54" t="s">
        <v>157</v>
      </c>
      <c r="C222" s="55">
        <v>1</v>
      </c>
      <c r="D222" s="54" t="s">
        <v>158</v>
      </c>
      <c r="E222" s="53">
        <f t="shared" si="6"/>
        <v>0</v>
      </c>
      <c r="F222" s="53">
        <f t="shared" si="7"/>
        <v>95</v>
      </c>
    </row>
    <row r="223" spans="1:6" ht="23.25" thickBot="1" x14ac:dyDescent="0.3">
      <c r="A223" s="54" t="s">
        <v>136</v>
      </c>
      <c r="B223" s="54" t="s">
        <v>157</v>
      </c>
      <c r="C223" s="55">
        <v>2</v>
      </c>
      <c r="D223" s="54" t="s">
        <v>158</v>
      </c>
      <c r="E223" s="53">
        <f t="shared" si="6"/>
        <v>0</v>
      </c>
      <c r="F223" s="53">
        <f t="shared" si="7"/>
        <v>95</v>
      </c>
    </row>
    <row r="224" spans="1:6" ht="23.25" thickBot="1" x14ac:dyDescent="0.3">
      <c r="A224" s="54" t="s">
        <v>136</v>
      </c>
      <c r="B224" s="54" t="s">
        <v>157</v>
      </c>
      <c r="C224" s="55">
        <v>3</v>
      </c>
      <c r="D224" s="54" t="s">
        <v>213</v>
      </c>
      <c r="E224" s="53">
        <f t="shared" si="6"/>
        <v>0</v>
      </c>
      <c r="F224" s="53">
        <f t="shared" si="7"/>
        <v>97</v>
      </c>
    </row>
    <row r="225" spans="1:6" ht="23.25" thickBot="1" x14ac:dyDescent="0.3">
      <c r="A225" s="54" t="s">
        <v>136</v>
      </c>
      <c r="B225" s="54" t="s">
        <v>157</v>
      </c>
      <c r="C225" s="55">
        <v>4</v>
      </c>
      <c r="D225" s="54" t="s">
        <v>213</v>
      </c>
      <c r="E225" s="53">
        <f t="shared" si="6"/>
        <v>0</v>
      </c>
      <c r="F225" s="53">
        <f t="shared" si="7"/>
        <v>97</v>
      </c>
    </row>
    <row r="226" spans="1:6" ht="23.25" thickBot="1" x14ac:dyDescent="0.3">
      <c r="A226" s="54" t="s">
        <v>136</v>
      </c>
      <c r="B226" s="54" t="s">
        <v>157</v>
      </c>
      <c r="C226" s="55">
        <v>5</v>
      </c>
      <c r="D226" s="54" t="s">
        <v>213</v>
      </c>
      <c r="E226" s="53">
        <f t="shared" si="6"/>
        <v>0</v>
      </c>
      <c r="F226" s="53">
        <f t="shared" si="7"/>
        <v>97</v>
      </c>
    </row>
    <row r="227" spans="1:6" ht="23.25" thickBot="1" x14ac:dyDescent="0.3">
      <c r="A227" s="54" t="s">
        <v>136</v>
      </c>
      <c r="B227" s="54" t="s">
        <v>157</v>
      </c>
      <c r="C227" s="55">
        <v>6</v>
      </c>
      <c r="D227" s="54" t="s">
        <v>213</v>
      </c>
      <c r="E227" s="53">
        <f t="shared" si="6"/>
        <v>0</v>
      </c>
      <c r="F227" s="53">
        <f t="shared" si="7"/>
        <v>97</v>
      </c>
    </row>
    <row r="228" spans="1:6" ht="23.25" thickBot="1" x14ac:dyDescent="0.3">
      <c r="A228" s="54" t="s">
        <v>136</v>
      </c>
      <c r="B228" s="54" t="s">
        <v>157</v>
      </c>
      <c r="C228" s="55">
        <v>7</v>
      </c>
      <c r="D228" s="54" t="s">
        <v>214</v>
      </c>
      <c r="E228" s="53">
        <f t="shared" si="6"/>
        <v>0</v>
      </c>
      <c r="F228" s="53">
        <f t="shared" si="7"/>
        <v>141</v>
      </c>
    </row>
    <row r="229" spans="1:6" ht="23.25" thickBot="1" x14ac:dyDescent="0.3">
      <c r="A229" s="54" t="s">
        <v>136</v>
      </c>
      <c r="B229" s="54" t="s">
        <v>157</v>
      </c>
      <c r="C229" s="55">
        <v>8</v>
      </c>
      <c r="D229" s="54" t="s">
        <v>214</v>
      </c>
      <c r="E229" s="53">
        <f t="shared" si="6"/>
        <v>0</v>
      </c>
      <c r="F229" s="53">
        <f t="shared" si="7"/>
        <v>141</v>
      </c>
    </row>
    <row r="230" spans="1:6" ht="23.25" thickBot="1" x14ac:dyDescent="0.3">
      <c r="A230" s="54" t="s">
        <v>136</v>
      </c>
      <c r="B230" s="54" t="s">
        <v>157</v>
      </c>
      <c r="C230" s="55">
        <v>9</v>
      </c>
      <c r="D230" s="54" t="s">
        <v>214</v>
      </c>
      <c r="E230" s="53">
        <f t="shared" si="6"/>
        <v>0</v>
      </c>
      <c r="F230" s="53">
        <f t="shared" si="7"/>
        <v>141</v>
      </c>
    </row>
    <row r="231" spans="1:6" ht="23.25" thickBot="1" x14ac:dyDescent="0.3">
      <c r="A231" s="54" t="s">
        <v>136</v>
      </c>
      <c r="B231" s="54" t="s">
        <v>157</v>
      </c>
      <c r="C231" s="55">
        <v>10</v>
      </c>
      <c r="D231" s="54" t="s">
        <v>214</v>
      </c>
      <c r="E231" s="53">
        <f t="shared" si="6"/>
        <v>0</v>
      </c>
      <c r="F231" s="53">
        <f t="shared" si="7"/>
        <v>141</v>
      </c>
    </row>
    <row r="232" spans="1:6" ht="23.25" thickBot="1" x14ac:dyDescent="0.3">
      <c r="A232" s="54" t="s">
        <v>136</v>
      </c>
      <c r="B232" s="54" t="s">
        <v>3</v>
      </c>
      <c r="C232" s="55">
        <v>1</v>
      </c>
      <c r="D232" s="54" t="s">
        <v>159</v>
      </c>
      <c r="E232" s="53">
        <f t="shared" si="6"/>
        <v>0</v>
      </c>
      <c r="F232" s="53">
        <f t="shared" si="7"/>
        <v>121</v>
      </c>
    </row>
    <row r="233" spans="1:6" ht="23.25" thickBot="1" x14ac:dyDescent="0.3">
      <c r="A233" s="54" t="s">
        <v>136</v>
      </c>
      <c r="B233" s="54" t="s">
        <v>3</v>
      </c>
      <c r="C233" s="55">
        <v>2</v>
      </c>
      <c r="D233" s="54" t="s">
        <v>159</v>
      </c>
      <c r="E233" s="53">
        <f t="shared" si="6"/>
        <v>0</v>
      </c>
      <c r="F233" s="53">
        <f t="shared" si="7"/>
        <v>121</v>
      </c>
    </row>
    <row r="234" spans="1:6" ht="23.25" thickBot="1" x14ac:dyDescent="0.3">
      <c r="A234" s="54" t="s">
        <v>136</v>
      </c>
      <c r="B234" s="54" t="s">
        <v>3</v>
      </c>
      <c r="C234" s="55">
        <v>3</v>
      </c>
      <c r="D234" s="54" t="s">
        <v>215</v>
      </c>
      <c r="E234" s="53">
        <f t="shared" si="6"/>
        <v>0</v>
      </c>
      <c r="F234" s="53">
        <f t="shared" si="7"/>
        <v>132</v>
      </c>
    </row>
    <row r="235" spans="1:6" ht="23.25" thickBot="1" x14ac:dyDescent="0.3">
      <c r="A235" s="54" t="s">
        <v>136</v>
      </c>
      <c r="B235" s="54" t="s">
        <v>3</v>
      </c>
      <c r="C235" s="55">
        <v>4</v>
      </c>
      <c r="D235" s="54" t="s">
        <v>215</v>
      </c>
      <c r="E235" s="53">
        <f t="shared" si="6"/>
        <v>0</v>
      </c>
      <c r="F235" s="53">
        <f t="shared" si="7"/>
        <v>132</v>
      </c>
    </row>
    <row r="236" spans="1:6" ht="23.25" thickBot="1" x14ac:dyDescent="0.3">
      <c r="A236" s="54" t="s">
        <v>136</v>
      </c>
      <c r="B236" s="54" t="s">
        <v>3</v>
      </c>
      <c r="C236" s="55">
        <v>5</v>
      </c>
      <c r="D236" s="54" t="s">
        <v>215</v>
      </c>
      <c r="E236" s="53">
        <f t="shared" si="6"/>
        <v>0</v>
      </c>
      <c r="F236" s="53">
        <f t="shared" si="7"/>
        <v>132</v>
      </c>
    </row>
    <row r="237" spans="1:6" ht="23.25" thickBot="1" x14ac:dyDescent="0.3">
      <c r="A237" s="54" t="s">
        <v>136</v>
      </c>
      <c r="B237" s="54" t="s">
        <v>3</v>
      </c>
      <c r="C237" s="55">
        <v>6</v>
      </c>
      <c r="D237" s="54" t="s">
        <v>215</v>
      </c>
      <c r="E237" s="53">
        <f t="shared" si="6"/>
        <v>0</v>
      </c>
      <c r="F237" s="53">
        <f t="shared" si="7"/>
        <v>132</v>
      </c>
    </row>
    <row r="238" spans="1:6" ht="23.25" thickBot="1" x14ac:dyDescent="0.3">
      <c r="A238" s="54" t="s">
        <v>136</v>
      </c>
      <c r="B238" s="54" t="s">
        <v>3</v>
      </c>
      <c r="C238" s="55">
        <v>7</v>
      </c>
      <c r="D238" s="54" t="s">
        <v>160</v>
      </c>
      <c r="E238" s="53">
        <f t="shared" si="6"/>
        <v>0</v>
      </c>
      <c r="F238" s="53">
        <f t="shared" si="7"/>
        <v>139</v>
      </c>
    </row>
    <row r="239" spans="1:6" ht="23.25" thickBot="1" x14ac:dyDescent="0.3">
      <c r="A239" s="54" t="s">
        <v>136</v>
      </c>
      <c r="B239" s="54" t="s">
        <v>3</v>
      </c>
      <c r="C239" s="55">
        <v>8</v>
      </c>
      <c r="D239" s="54" t="s">
        <v>160</v>
      </c>
      <c r="E239" s="53">
        <f t="shared" si="6"/>
        <v>0</v>
      </c>
      <c r="F239" s="53">
        <f t="shared" si="7"/>
        <v>139</v>
      </c>
    </row>
    <row r="240" spans="1:6" ht="23.25" thickBot="1" x14ac:dyDescent="0.3">
      <c r="A240" s="54" t="s">
        <v>136</v>
      </c>
      <c r="B240" s="54" t="s">
        <v>3</v>
      </c>
      <c r="C240" s="55">
        <v>9</v>
      </c>
      <c r="D240" s="54" t="s">
        <v>160</v>
      </c>
      <c r="E240" s="53">
        <f t="shared" si="6"/>
        <v>0</v>
      </c>
      <c r="F240" s="53">
        <f t="shared" si="7"/>
        <v>139</v>
      </c>
    </row>
    <row r="241" spans="1:6" ht="23.25" thickBot="1" x14ac:dyDescent="0.3">
      <c r="A241" s="54" t="s">
        <v>136</v>
      </c>
      <c r="B241" s="54" t="s">
        <v>3</v>
      </c>
      <c r="C241" s="55">
        <v>10</v>
      </c>
      <c r="D241" s="54" t="s">
        <v>160</v>
      </c>
      <c r="E241" s="53">
        <f t="shared" si="6"/>
        <v>0</v>
      </c>
      <c r="F241" s="53">
        <f t="shared" si="7"/>
        <v>139</v>
      </c>
    </row>
    <row r="242" spans="1:6" ht="23.25" thickBot="1" x14ac:dyDescent="0.3">
      <c r="A242" s="54" t="s">
        <v>136</v>
      </c>
      <c r="B242" s="54" t="s">
        <v>4</v>
      </c>
      <c r="C242" s="55">
        <v>1</v>
      </c>
      <c r="D242" s="54" t="s">
        <v>161</v>
      </c>
      <c r="E242" s="53">
        <f t="shared" si="6"/>
        <v>0</v>
      </c>
      <c r="F242" s="53">
        <f t="shared" si="7"/>
        <v>65</v>
      </c>
    </row>
    <row r="243" spans="1:6" ht="23.25" thickBot="1" x14ac:dyDescent="0.3">
      <c r="A243" s="54" t="s">
        <v>136</v>
      </c>
      <c r="B243" s="54" t="s">
        <v>4</v>
      </c>
      <c r="C243" s="55">
        <v>2</v>
      </c>
      <c r="D243" s="54" t="s">
        <v>161</v>
      </c>
      <c r="E243" s="53">
        <f t="shared" si="6"/>
        <v>0</v>
      </c>
      <c r="F243" s="53">
        <f t="shared" si="7"/>
        <v>65</v>
      </c>
    </row>
    <row r="244" spans="1:6" ht="23.25" thickBot="1" x14ac:dyDescent="0.3">
      <c r="A244" s="54" t="s">
        <v>136</v>
      </c>
      <c r="B244" s="54" t="s">
        <v>4</v>
      </c>
      <c r="C244" s="55">
        <v>3</v>
      </c>
      <c r="D244" s="54" t="s">
        <v>216</v>
      </c>
      <c r="E244" s="53">
        <f t="shared" si="6"/>
        <v>0</v>
      </c>
      <c r="F244" s="53">
        <f t="shared" si="7"/>
        <v>124</v>
      </c>
    </row>
    <row r="245" spans="1:6" ht="23.25" thickBot="1" x14ac:dyDescent="0.3">
      <c r="A245" s="54" t="s">
        <v>136</v>
      </c>
      <c r="B245" s="54" t="s">
        <v>4</v>
      </c>
      <c r="C245" s="55">
        <v>4</v>
      </c>
      <c r="D245" s="54" t="s">
        <v>216</v>
      </c>
      <c r="E245" s="53">
        <f t="shared" si="6"/>
        <v>0</v>
      </c>
      <c r="F245" s="53">
        <f t="shared" si="7"/>
        <v>124</v>
      </c>
    </row>
    <row r="246" spans="1:6" ht="23.25" thickBot="1" x14ac:dyDescent="0.3">
      <c r="A246" s="54" t="s">
        <v>136</v>
      </c>
      <c r="B246" s="54" t="s">
        <v>4</v>
      </c>
      <c r="C246" s="55">
        <v>5</v>
      </c>
      <c r="D246" s="54" t="s">
        <v>216</v>
      </c>
      <c r="E246" s="53">
        <f t="shared" si="6"/>
        <v>0</v>
      </c>
      <c r="F246" s="53">
        <f t="shared" si="7"/>
        <v>124</v>
      </c>
    </row>
    <row r="247" spans="1:6" ht="23.25" thickBot="1" x14ac:dyDescent="0.3">
      <c r="A247" s="54" t="s">
        <v>136</v>
      </c>
      <c r="B247" s="54" t="s">
        <v>4</v>
      </c>
      <c r="C247" s="55">
        <v>6</v>
      </c>
      <c r="D247" s="54" t="s">
        <v>216</v>
      </c>
      <c r="E247" s="53">
        <f t="shared" si="6"/>
        <v>0</v>
      </c>
      <c r="F247" s="53">
        <f t="shared" si="7"/>
        <v>124</v>
      </c>
    </row>
    <row r="248" spans="1:6" ht="23.25" thickBot="1" x14ac:dyDescent="0.3">
      <c r="A248" s="54" t="s">
        <v>136</v>
      </c>
      <c r="B248" s="54" t="s">
        <v>4</v>
      </c>
      <c r="C248" s="55">
        <v>7</v>
      </c>
      <c r="D248" s="54" t="s">
        <v>162</v>
      </c>
      <c r="E248" s="53">
        <f t="shared" si="6"/>
        <v>0</v>
      </c>
      <c r="F248" s="53">
        <f t="shared" si="7"/>
        <v>130</v>
      </c>
    </row>
    <row r="249" spans="1:6" ht="23.25" thickBot="1" x14ac:dyDescent="0.3">
      <c r="A249" s="54" t="s">
        <v>136</v>
      </c>
      <c r="B249" s="54" t="s">
        <v>4</v>
      </c>
      <c r="C249" s="55">
        <v>8</v>
      </c>
      <c r="D249" s="54" t="s">
        <v>162</v>
      </c>
      <c r="E249" s="53">
        <f t="shared" si="6"/>
        <v>0</v>
      </c>
      <c r="F249" s="53">
        <f t="shared" si="7"/>
        <v>130</v>
      </c>
    </row>
    <row r="250" spans="1:6" ht="23.25" thickBot="1" x14ac:dyDescent="0.3">
      <c r="A250" s="54" t="s">
        <v>136</v>
      </c>
      <c r="B250" s="54" t="s">
        <v>4</v>
      </c>
      <c r="C250" s="55">
        <v>9</v>
      </c>
      <c r="D250" s="54" t="s">
        <v>162</v>
      </c>
      <c r="E250" s="53">
        <f t="shared" si="6"/>
        <v>0</v>
      </c>
      <c r="F250" s="53">
        <f t="shared" si="7"/>
        <v>130</v>
      </c>
    </row>
    <row r="251" spans="1:6" ht="23.25" thickBot="1" x14ac:dyDescent="0.3">
      <c r="A251" s="54" t="s">
        <v>136</v>
      </c>
      <c r="B251" s="54" t="s">
        <v>4</v>
      </c>
      <c r="C251" s="55">
        <v>10</v>
      </c>
      <c r="D251" s="54" t="s">
        <v>162</v>
      </c>
      <c r="E251" s="53">
        <f t="shared" si="6"/>
        <v>0</v>
      </c>
      <c r="F251" s="53">
        <f t="shared" si="7"/>
        <v>130</v>
      </c>
    </row>
    <row r="252" spans="1:6" ht="23.25" thickBot="1" x14ac:dyDescent="0.3">
      <c r="A252" s="54" t="s">
        <v>136</v>
      </c>
      <c r="B252" s="54" t="s">
        <v>163</v>
      </c>
      <c r="C252" s="55">
        <v>1</v>
      </c>
      <c r="D252" s="54" t="s">
        <v>217</v>
      </c>
      <c r="E252" s="53">
        <f t="shared" si="6"/>
        <v>0</v>
      </c>
      <c r="F252" s="53">
        <f t="shared" si="7"/>
        <v>54</v>
      </c>
    </row>
    <row r="253" spans="1:6" ht="23.25" thickBot="1" x14ac:dyDescent="0.3">
      <c r="A253" s="54" t="s">
        <v>136</v>
      </c>
      <c r="B253" s="54" t="s">
        <v>163</v>
      </c>
      <c r="C253" s="55">
        <v>2</v>
      </c>
      <c r="D253" s="54" t="s">
        <v>217</v>
      </c>
      <c r="E253" s="53">
        <f t="shared" si="6"/>
        <v>0</v>
      </c>
      <c r="F253" s="53">
        <f t="shared" si="7"/>
        <v>54</v>
      </c>
    </row>
    <row r="254" spans="1:6" ht="23.25" thickBot="1" x14ac:dyDescent="0.3">
      <c r="A254" s="54" t="s">
        <v>136</v>
      </c>
      <c r="B254" s="54" t="s">
        <v>163</v>
      </c>
      <c r="C254" s="55">
        <v>3</v>
      </c>
      <c r="D254" s="54" t="s">
        <v>218</v>
      </c>
      <c r="E254" s="53">
        <f t="shared" si="6"/>
        <v>0</v>
      </c>
      <c r="F254" s="53">
        <f t="shared" si="7"/>
        <v>110</v>
      </c>
    </row>
    <row r="255" spans="1:6" ht="23.25" thickBot="1" x14ac:dyDescent="0.3">
      <c r="A255" s="54" t="s">
        <v>136</v>
      </c>
      <c r="B255" s="54" t="s">
        <v>163</v>
      </c>
      <c r="C255" s="55">
        <v>4</v>
      </c>
      <c r="D255" s="54" t="s">
        <v>218</v>
      </c>
      <c r="E255" s="53">
        <f t="shared" si="6"/>
        <v>0</v>
      </c>
      <c r="F255" s="53">
        <f t="shared" si="7"/>
        <v>110</v>
      </c>
    </row>
    <row r="256" spans="1:6" ht="23.25" thickBot="1" x14ac:dyDescent="0.3">
      <c r="A256" s="54" t="s">
        <v>136</v>
      </c>
      <c r="B256" s="54" t="s">
        <v>163</v>
      </c>
      <c r="C256" s="55">
        <v>5</v>
      </c>
      <c r="D256" s="54" t="s">
        <v>218</v>
      </c>
      <c r="E256" s="53">
        <f t="shared" si="6"/>
        <v>0</v>
      </c>
      <c r="F256" s="53">
        <f t="shared" si="7"/>
        <v>110</v>
      </c>
    </row>
    <row r="257" spans="1:6" ht="23.25" thickBot="1" x14ac:dyDescent="0.3">
      <c r="A257" s="54" t="s">
        <v>136</v>
      </c>
      <c r="B257" s="54" t="s">
        <v>163</v>
      </c>
      <c r="C257" s="55">
        <v>6</v>
      </c>
      <c r="D257" s="54" t="s">
        <v>218</v>
      </c>
      <c r="E257" s="53">
        <f t="shared" si="6"/>
        <v>0</v>
      </c>
      <c r="F257" s="53">
        <f t="shared" si="7"/>
        <v>110</v>
      </c>
    </row>
    <row r="258" spans="1:6" ht="24" thickBot="1" x14ac:dyDescent="0.3">
      <c r="A258" s="54" t="s">
        <v>136</v>
      </c>
      <c r="B258" s="54" t="s">
        <v>163</v>
      </c>
      <c r="C258" s="55">
        <v>7</v>
      </c>
      <c r="D258" s="56" t="s">
        <v>164</v>
      </c>
      <c r="E258" s="53">
        <f t="shared" si="6"/>
        <v>0</v>
      </c>
      <c r="F258" s="53">
        <f t="shared" si="7"/>
        <v>121</v>
      </c>
    </row>
    <row r="259" spans="1:6" ht="24" thickBot="1" x14ac:dyDescent="0.3">
      <c r="A259" s="54" t="s">
        <v>136</v>
      </c>
      <c r="B259" s="54" t="s">
        <v>163</v>
      </c>
      <c r="C259" s="55">
        <v>8</v>
      </c>
      <c r="D259" s="56" t="s">
        <v>164</v>
      </c>
      <c r="E259" s="53">
        <f t="shared" ref="E259:E322" si="8">IF(LEN(D259)&lt;170,0,1)</f>
        <v>0</v>
      </c>
      <c r="F259" s="53">
        <f t="shared" ref="F259:F322" si="9">LEN(D259)</f>
        <v>121</v>
      </c>
    </row>
    <row r="260" spans="1:6" ht="24" thickBot="1" x14ac:dyDescent="0.3">
      <c r="A260" s="54" t="s">
        <v>136</v>
      </c>
      <c r="B260" s="54" t="s">
        <v>163</v>
      </c>
      <c r="C260" s="55">
        <v>9</v>
      </c>
      <c r="D260" s="56" t="s">
        <v>164</v>
      </c>
      <c r="E260" s="53">
        <f t="shared" si="8"/>
        <v>0</v>
      </c>
      <c r="F260" s="53">
        <f t="shared" si="9"/>
        <v>121</v>
      </c>
    </row>
    <row r="261" spans="1:6" ht="24" thickBot="1" x14ac:dyDescent="0.3">
      <c r="A261" s="54" t="s">
        <v>136</v>
      </c>
      <c r="B261" s="54" t="s">
        <v>163</v>
      </c>
      <c r="C261" s="55">
        <v>10</v>
      </c>
      <c r="D261" s="56" t="s">
        <v>164</v>
      </c>
      <c r="E261" s="53">
        <f t="shared" si="8"/>
        <v>0</v>
      </c>
      <c r="F261" s="53">
        <f t="shared" si="9"/>
        <v>121</v>
      </c>
    </row>
    <row r="262" spans="1:6" ht="23.25" thickBot="1" x14ac:dyDescent="0.3">
      <c r="A262" s="54" t="s">
        <v>136</v>
      </c>
      <c r="B262" s="56" t="s">
        <v>6</v>
      </c>
      <c r="C262" s="55">
        <v>1</v>
      </c>
      <c r="D262" s="56" t="s">
        <v>165</v>
      </c>
      <c r="E262" s="53">
        <f t="shared" si="8"/>
        <v>0</v>
      </c>
      <c r="F262" s="53">
        <f t="shared" si="9"/>
        <v>80</v>
      </c>
    </row>
    <row r="263" spans="1:6" ht="23.25" thickBot="1" x14ac:dyDescent="0.3">
      <c r="A263" s="54" t="s">
        <v>136</v>
      </c>
      <c r="B263" s="56" t="s">
        <v>6</v>
      </c>
      <c r="C263" s="55">
        <v>2</v>
      </c>
      <c r="D263" s="56" t="s">
        <v>165</v>
      </c>
      <c r="E263" s="53">
        <f t="shared" si="8"/>
        <v>0</v>
      </c>
      <c r="F263" s="53">
        <f t="shared" si="9"/>
        <v>80</v>
      </c>
    </row>
    <row r="264" spans="1:6" ht="23.25" thickBot="1" x14ac:dyDescent="0.3">
      <c r="A264" s="54" t="s">
        <v>136</v>
      </c>
      <c r="B264" s="56" t="s">
        <v>6</v>
      </c>
      <c r="C264" s="55">
        <v>3</v>
      </c>
      <c r="D264" s="56" t="s">
        <v>219</v>
      </c>
      <c r="E264" s="53">
        <f t="shared" si="8"/>
        <v>0</v>
      </c>
      <c r="F264" s="53">
        <f t="shared" si="9"/>
        <v>102</v>
      </c>
    </row>
    <row r="265" spans="1:6" ht="23.25" thickBot="1" x14ac:dyDescent="0.3">
      <c r="A265" s="54" t="s">
        <v>136</v>
      </c>
      <c r="B265" s="56" t="s">
        <v>6</v>
      </c>
      <c r="C265" s="55">
        <v>4</v>
      </c>
      <c r="D265" s="56" t="s">
        <v>219</v>
      </c>
      <c r="E265" s="53">
        <f t="shared" si="8"/>
        <v>0</v>
      </c>
      <c r="F265" s="53">
        <f t="shared" si="9"/>
        <v>102</v>
      </c>
    </row>
    <row r="266" spans="1:6" ht="23.25" thickBot="1" x14ac:dyDescent="0.3">
      <c r="A266" s="54" t="s">
        <v>136</v>
      </c>
      <c r="B266" s="56" t="s">
        <v>6</v>
      </c>
      <c r="C266" s="55">
        <v>5</v>
      </c>
      <c r="D266" s="56" t="s">
        <v>219</v>
      </c>
      <c r="E266" s="53">
        <f t="shared" si="8"/>
        <v>0</v>
      </c>
      <c r="F266" s="53">
        <f t="shared" si="9"/>
        <v>102</v>
      </c>
    </row>
    <row r="267" spans="1:6" ht="23.25" thickBot="1" x14ac:dyDescent="0.3">
      <c r="A267" s="54" t="s">
        <v>136</v>
      </c>
      <c r="B267" s="56" t="s">
        <v>6</v>
      </c>
      <c r="C267" s="55">
        <v>6</v>
      </c>
      <c r="D267" s="56" t="s">
        <v>219</v>
      </c>
      <c r="E267" s="53">
        <f t="shared" si="8"/>
        <v>0</v>
      </c>
      <c r="F267" s="53">
        <f t="shared" si="9"/>
        <v>102</v>
      </c>
    </row>
    <row r="268" spans="1:6" ht="24" thickBot="1" x14ac:dyDescent="0.3">
      <c r="A268" s="54" t="s">
        <v>136</v>
      </c>
      <c r="B268" s="56" t="s">
        <v>6</v>
      </c>
      <c r="C268" s="55">
        <v>7</v>
      </c>
      <c r="D268" s="56" t="s">
        <v>166</v>
      </c>
      <c r="E268" s="53">
        <f t="shared" si="8"/>
        <v>0</v>
      </c>
      <c r="F268" s="53">
        <f t="shared" si="9"/>
        <v>113</v>
      </c>
    </row>
    <row r="269" spans="1:6" ht="24" thickBot="1" x14ac:dyDescent="0.3">
      <c r="A269" s="54" t="s">
        <v>136</v>
      </c>
      <c r="B269" s="56" t="s">
        <v>6</v>
      </c>
      <c r="C269" s="55">
        <v>8</v>
      </c>
      <c r="D269" s="56" t="s">
        <v>166</v>
      </c>
      <c r="E269" s="53">
        <f t="shared" si="8"/>
        <v>0</v>
      </c>
      <c r="F269" s="53">
        <f t="shared" si="9"/>
        <v>113</v>
      </c>
    </row>
    <row r="270" spans="1:6" ht="24" thickBot="1" x14ac:dyDescent="0.3">
      <c r="A270" s="54" t="s">
        <v>136</v>
      </c>
      <c r="B270" s="56" t="s">
        <v>6</v>
      </c>
      <c r="C270" s="55">
        <v>9</v>
      </c>
      <c r="D270" s="56" t="s">
        <v>166</v>
      </c>
      <c r="E270" s="53">
        <f t="shared" si="8"/>
        <v>0</v>
      </c>
      <c r="F270" s="53">
        <f t="shared" si="9"/>
        <v>113</v>
      </c>
    </row>
    <row r="271" spans="1:6" ht="24" thickBot="1" x14ac:dyDescent="0.3">
      <c r="A271" s="54" t="s">
        <v>136</v>
      </c>
      <c r="B271" s="56" t="s">
        <v>6</v>
      </c>
      <c r="C271" s="55">
        <v>10</v>
      </c>
      <c r="D271" s="56" t="s">
        <v>166</v>
      </c>
      <c r="E271" s="53">
        <f t="shared" si="8"/>
        <v>0</v>
      </c>
      <c r="F271" s="53">
        <f t="shared" si="9"/>
        <v>113</v>
      </c>
    </row>
    <row r="272" spans="1:6" ht="23.25" thickBot="1" x14ac:dyDescent="0.3">
      <c r="A272" s="54" t="s">
        <v>136</v>
      </c>
      <c r="B272" s="56" t="s">
        <v>167</v>
      </c>
      <c r="C272" s="55">
        <v>1</v>
      </c>
      <c r="D272" s="56" t="s">
        <v>168</v>
      </c>
      <c r="E272" s="53">
        <f t="shared" si="8"/>
        <v>0</v>
      </c>
      <c r="F272" s="53">
        <f t="shared" si="9"/>
        <v>81</v>
      </c>
    </row>
    <row r="273" spans="1:6" ht="23.25" thickBot="1" x14ac:dyDescent="0.3">
      <c r="A273" s="54" t="s">
        <v>136</v>
      </c>
      <c r="B273" s="56" t="s">
        <v>167</v>
      </c>
      <c r="C273" s="55">
        <v>2</v>
      </c>
      <c r="D273" s="56" t="s">
        <v>168</v>
      </c>
      <c r="E273" s="53">
        <f t="shared" si="8"/>
        <v>0</v>
      </c>
      <c r="F273" s="53">
        <f t="shared" si="9"/>
        <v>81</v>
      </c>
    </row>
    <row r="274" spans="1:6" ht="24" thickBot="1" x14ac:dyDescent="0.3">
      <c r="A274" s="54" t="s">
        <v>136</v>
      </c>
      <c r="B274" s="56" t="s">
        <v>167</v>
      </c>
      <c r="C274" s="55">
        <v>3</v>
      </c>
      <c r="D274" s="56" t="s">
        <v>169</v>
      </c>
      <c r="E274" s="53">
        <f t="shared" si="8"/>
        <v>0</v>
      </c>
      <c r="F274" s="53">
        <f t="shared" si="9"/>
        <v>111</v>
      </c>
    </row>
    <row r="275" spans="1:6" ht="24" thickBot="1" x14ac:dyDescent="0.3">
      <c r="A275" s="54" t="s">
        <v>136</v>
      </c>
      <c r="B275" s="56" t="s">
        <v>167</v>
      </c>
      <c r="C275" s="55">
        <v>4</v>
      </c>
      <c r="D275" s="56" t="s">
        <v>169</v>
      </c>
      <c r="E275" s="53">
        <f t="shared" si="8"/>
        <v>0</v>
      </c>
      <c r="F275" s="53">
        <f t="shared" si="9"/>
        <v>111</v>
      </c>
    </row>
    <row r="276" spans="1:6" ht="24" thickBot="1" x14ac:dyDescent="0.3">
      <c r="A276" s="54" t="s">
        <v>136</v>
      </c>
      <c r="B276" s="56" t="s">
        <v>167</v>
      </c>
      <c r="C276" s="55">
        <v>5</v>
      </c>
      <c r="D276" s="56" t="s">
        <v>169</v>
      </c>
      <c r="E276" s="53">
        <f t="shared" si="8"/>
        <v>0</v>
      </c>
      <c r="F276" s="53">
        <f t="shared" si="9"/>
        <v>111</v>
      </c>
    </row>
    <row r="277" spans="1:6" ht="24" thickBot="1" x14ac:dyDescent="0.3">
      <c r="A277" s="54" t="s">
        <v>136</v>
      </c>
      <c r="B277" s="56" t="s">
        <v>167</v>
      </c>
      <c r="C277" s="55">
        <v>6</v>
      </c>
      <c r="D277" s="56" t="s">
        <v>169</v>
      </c>
      <c r="E277" s="53">
        <f t="shared" si="8"/>
        <v>0</v>
      </c>
      <c r="F277" s="53">
        <f t="shared" si="9"/>
        <v>111</v>
      </c>
    </row>
    <row r="278" spans="1:6" ht="24" thickBot="1" x14ac:dyDescent="0.3">
      <c r="A278" s="54" t="s">
        <v>136</v>
      </c>
      <c r="B278" s="56" t="s">
        <v>167</v>
      </c>
      <c r="C278" s="55">
        <v>7</v>
      </c>
      <c r="D278" s="56" t="s">
        <v>169</v>
      </c>
      <c r="E278" s="53">
        <f t="shared" si="8"/>
        <v>0</v>
      </c>
      <c r="F278" s="53">
        <f t="shared" si="9"/>
        <v>111</v>
      </c>
    </row>
    <row r="279" spans="1:6" ht="24" thickBot="1" x14ac:dyDescent="0.3">
      <c r="A279" s="54" t="s">
        <v>136</v>
      </c>
      <c r="B279" s="56" t="s">
        <v>167</v>
      </c>
      <c r="C279" s="55">
        <v>8</v>
      </c>
      <c r="D279" s="56" t="s">
        <v>170</v>
      </c>
      <c r="E279" s="53">
        <f t="shared" si="8"/>
        <v>0</v>
      </c>
      <c r="F279" s="53">
        <f t="shared" si="9"/>
        <v>105</v>
      </c>
    </row>
    <row r="280" spans="1:6" ht="24" thickBot="1" x14ac:dyDescent="0.3">
      <c r="A280" s="54" t="s">
        <v>136</v>
      </c>
      <c r="B280" s="56" t="s">
        <v>167</v>
      </c>
      <c r="C280" s="55">
        <v>9</v>
      </c>
      <c r="D280" s="56" t="s">
        <v>170</v>
      </c>
      <c r="E280" s="53">
        <f t="shared" si="8"/>
        <v>0</v>
      </c>
      <c r="F280" s="53">
        <f t="shared" si="9"/>
        <v>105</v>
      </c>
    </row>
    <row r="281" spans="1:6" ht="24" thickBot="1" x14ac:dyDescent="0.3">
      <c r="A281" s="54" t="s">
        <v>136</v>
      </c>
      <c r="B281" s="56" t="s">
        <v>167</v>
      </c>
      <c r="C281" s="55">
        <v>10</v>
      </c>
      <c r="D281" s="56" t="s">
        <v>170</v>
      </c>
      <c r="E281" s="53">
        <f t="shared" si="8"/>
        <v>0</v>
      </c>
      <c r="F281" s="53">
        <f t="shared" si="9"/>
        <v>105</v>
      </c>
    </row>
    <row r="282" spans="1:6" ht="23.25" thickBot="1" x14ac:dyDescent="0.3">
      <c r="A282" s="54" t="s">
        <v>136</v>
      </c>
      <c r="B282" s="56" t="s">
        <v>171</v>
      </c>
      <c r="C282" s="55">
        <v>1</v>
      </c>
      <c r="D282" s="56" t="s">
        <v>172</v>
      </c>
      <c r="E282" s="53">
        <f t="shared" si="8"/>
        <v>0</v>
      </c>
      <c r="F282" s="53">
        <f t="shared" si="9"/>
        <v>85</v>
      </c>
    </row>
    <row r="283" spans="1:6" ht="23.25" thickBot="1" x14ac:dyDescent="0.3">
      <c r="A283" s="54" t="s">
        <v>136</v>
      </c>
      <c r="B283" s="56" t="s">
        <v>171</v>
      </c>
      <c r="C283" s="55">
        <v>2</v>
      </c>
      <c r="D283" s="56" t="s">
        <v>172</v>
      </c>
      <c r="E283" s="53">
        <f t="shared" si="8"/>
        <v>0</v>
      </c>
      <c r="F283" s="53">
        <f t="shared" si="9"/>
        <v>85</v>
      </c>
    </row>
    <row r="284" spans="1:6" ht="24" thickBot="1" x14ac:dyDescent="0.3">
      <c r="A284" s="54" t="s">
        <v>136</v>
      </c>
      <c r="B284" s="56" t="s">
        <v>171</v>
      </c>
      <c r="C284" s="55">
        <v>3</v>
      </c>
      <c r="D284" s="56" t="s">
        <v>220</v>
      </c>
      <c r="E284" s="53">
        <f t="shared" si="8"/>
        <v>0</v>
      </c>
      <c r="F284" s="53">
        <f t="shared" si="9"/>
        <v>121</v>
      </c>
    </row>
    <row r="285" spans="1:6" ht="24" thickBot="1" x14ac:dyDescent="0.3">
      <c r="A285" s="54" t="s">
        <v>136</v>
      </c>
      <c r="B285" s="56" t="s">
        <v>171</v>
      </c>
      <c r="C285" s="55">
        <v>4</v>
      </c>
      <c r="D285" s="56" t="s">
        <v>220</v>
      </c>
      <c r="E285" s="53">
        <f t="shared" si="8"/>
        <v>0</v>
      </c>
      <c r="F285" s="53">
        <f t="shared" si="9"/>
        <v>121</v>
      </c>
    </row>
    <row r="286" spans="1:6" ht="24" thickBot="1" x14ac:dyDescent="0.3">
      <c r="A286" s="54" t="s">
        <v>136</v>
      </c>
      <c r="B286" s="56" t="s">
        <v>171</v>
      </c>
      <c r="C286" s="55">
        <v>5</v>
      </c>
      <c r="D286" s="56" t="s">
        <v>220</v>
      </c>
      <c r="E286" s="53">
        <f t="shared" si="8"/>
        <v>0</v>
      </c>
      <c r="F286" s="53">
        <f t="shared" si="9"/>
        <v>121</v>
      </c>
    </row>
    <row r="287" spans="1:6" ht="24" thickBot="1" x14ac:dyDescent="0.3">
      <c r="A287" s="54" t="s">
        <v>136</v>
      </c>
      <c r="B287" s="56" t="s">
        <v>171</v>
      </c>
      <c r="C287" s="55">
        <v>6</v>
      </c>
      <c r="D287" s="56" t="s">
        <v>220</v>
      </c>
      <c r="E287" s="53">
        <f t="shared" si="8"/>
        <v>0</v>
      </c>
      <c r="F287" s="53">
        <f t="shared" si="9"/>
        <v>121</v>
      </c>
    </row>
    <row r="288" spans="1:6" ht="24" thickBot="1" x14ac:dyDescent="0.3">
      <c r="A288" s="54" t="s">
        <v>136</v>
      </c>
      <c r="B288" s="56" t="s">
        <v>171</v>
      </c>
      <c r="C288" s="55">
        <v>7</v>
      </c>
      <c r="D288" s="56" t="s">
        <v>173</v>
      </c>
      <c r="E288" s="53">
        <f t="shared" si="8"/>
        <v>0</v>
      </c>
      <c r="F288" s="53">
        <f t="shared" si="9"/>
        <v>143</v>
      </c>
    </row>
    <row r="289" spans="1:6" ht="24" thickBot="1" x14ac:dyDescent="0.3">
      <c r="A289" s="54" t="s">
        <v>136</v>
      </c>
      <c r="B289" s="56" t="s">
        <v>171</v>
      </c>
      <c r="C289" s="55">
        <v>8</v>
      </c>
      <c r="D289" s="56" t="s">
        <v>173</v>
      </c>
      <c r="E289" s="53">
        <f t="shared" si="8"/>
        <v>0</v>
      </c>
      <c r="F289" s="53">
        <f t="shared" si="9"/>
        <v>143</v>
      </c>
    </row>
    <row r="290" spans="1:6" ht="24" thickBot="1" x14ac:dyDescent="0.3">
      <c r="A290" s="54" t="s">
        <v>136</v>
      </c>
      <c r="B290" s="56" t="s">
        <v>171</v>
      </c>
      <c r="C290" s="55">
        <v>9</v>
      </c>
      <c r="D290" s="56" t="s">
        <v>173</v>
      </c>
      <c r="E290" s="53">
        <f t="shared" si="8"/>
        <v>0</v>
      </c>
      <c r="F290" s="53">
        <f t="shared" si="9"/>
        <v>143</v>
      </c>
    </row>
    <row r="291" spans="1:6" ht="24" thickBot="1" x14ac:dyDescent="0.3">
      <c r="A291" s="54" t="s">
        <v>136</v>
      </c>
      <c r="B291" s="56" t="s">
        <v>171</v>
      </c>
      <c r="C291" s="55">
        <v>10</v>
      </c>
      <c r="D291" s="56" t="s">
        <v>173</v>
      </c>
      <c r="E291" s="53">
        <f t="shared" si="8"/>
        <v>0</v>
      </c>
      <c r="F291" s="53">
        <f t="shared" si="9"/>
        <v>143</v>
      </c>
    </row>
    <row r="292" spans="1:6" ht="23.25" thickBot="1" x14ac:dyDescent="0.3">
      <c r="A292" s="54" t="s">
        <v>136</v>
      </c>
      <c r="B292" s="56" t="s">
        <v>8</v>
      </c>
      <c r="C292" s="55">
        <v>1</v>
      </c>
      <c r="D292" s="56" t="s">
        <v>278</v>
      </c>
      <c r="E292" s="53">
        <f t="shared" si="8"/>
        <v>0</v>
      </c>
      <c r="F292" s="53">
        <f t="shared" si="9"/>
        <v>79</v>
      </c>
    </row>
    <row r="293" spans="1:6" ht="23.25" thickBot="1" x14ac:dyDescent="0.3">
      <c r="A293" s="54" t="s">
        <v>136</v>
      </c>
      <c r="B293" s="56" t="s">
        <v>8</v>
      </c>
      <c r="C293" s="55">
        <v>2</v>
      </c>
      <c r="D293" s="56" t="s">
        <v>278</v>
      </c>
      <c r="E293" s="53">
        <f t="shared" si="8"/>
        <v>0</v>
      </c>
      <c r="F293" s="53">
        <f t="shared" si="9"/>
        <v>79</v>
      </c>
    </row>
    <row r="294" spans="1:6" ht="23.25" thickBot="1" x14ac:dyDescent="0.3">
      <c r="A294" s="54" t="s">
        <v>136</v>
      </c>
      <c r="B294" s="56" t="s">
        <v>8</v>
      </c>
      <c r="C294" s="55">
        <v>3</v>
      </c>
      <c r="D294" s="56" t="s">
        <v>250</v>
      </c>
      <c r="E294" s="53">
        <f t="shared" si="8"/>
        <v>0</v>
      </c>
      <c r="F294" s="53">
        <f t="shared" si="9"/>
        <v>97</v>
      </c>
    </row>
    <row r="295" spans="1:6" ht="23.25" thickBot="1" x14ac:dyDescent="0.3">
      <c r="A295" s="54" t="s">
        <v>136</v>
      </c>
      <c r="B295" s="56" t="s">
        <v>8</v>
      </c>
      <c r="C295" s="55">
        <v>4</v>
      </c>
      <c r="D295" s="56" t="s">
        <v>250</v>
      </c>
      <c r="E295" s="53">
        <f t="shared" si="8"/>
        <v>0</v>
      </c>
      <c r="F295" s="53">
        <f t="shared" si="9"/>
        <v>97</v>
      </c>
    </row>
    <row r="296" spans="1:6" ht="23.25" thickBot="1" x14ac:dyDescent="0.3">
      <c r="A296" s="54" t="s">
        <v>136</v>
      </c>
      <c r="B296" s="56" t="s">
        <v>8</v>
      </c>
      <c r="C296" s="55">
        <v>5</v>
      </c>
      <c r="D296" s="56" t="s">
        <v>250</v>
      </c>
      <c r="E296" s="53">
        <f t="shared" si="8"/>
        <v>0</v>
      </c>
      <c r="F296" s="53">
        <f t="shared" si="9"/>
        <v>97</v>
      </c>
    </row>
    <row r="297" spans="1:6" ht="23.25" thickBot="1" x14ac:dyDescent="0.3">
      <c r="A297" s="54" t="s">
        <v>136</v>
      </c>
      <c r="B297" s="56" t="s">
        <v>8</v>
      </c>
      <c r="C297" s="55">
        <v>6</v>
      </c>
      <c r="D297" s="56" t="s">
        <v>251</v>
      </c>
      <c r="E297" s="53">
        <f t="shared" si="8"/>
        <v>0</v>
      </c>
      <c r="F297" s="53">
        <f t="shared" si="9"/>
        <v>96</v>
      </c>
    </row>
    <row r="298" spans="1:6" ht="23.25" thickBot="1" x14ac:dyDescent="0.3">
      <c r="A298" s="54" t="s">
        <v>136</v>
      </c>
      <c r="B298" s="56" t="s">
        <v>8</v>
      </c>
      <c r="C298" s="55">
        <v>7</v>
      </c>
      <c r="D298" s="54" t="s">
        <v>221</v>
      </c>
      <c r="E298" s="53">
        <f t="shared" si="8"/>
        <v>0</v>
      </c>
      <c r="F298" s="53">
        <f t="shared" si="9"/>
        <v>95</v>
      </c>
    </row>
    <row r="299" spans="1:6" ht="23.25" thickBot="1" x14ac:dyDescent="0.3">
      <c r="A299" s="54" t="s">
        <v>136</v>
      </c>
      <c r="B299" s="54" t="s">
        <v>8</v>
      </c>
      <c r="C299" s="55">
        <v>8</v>
      </c>
      <c r="D299" s="54" t="s">
        <v>221</v>
      </c>
      <c r="E299" s="53">
        <f t="shared" si="8"/>
        <v>0</v>
      </c>
      <c r="F299" s="53">
        <f t="shared" si="9"/>
        <v>95</v>
      </c>
    </row>
    <row r="300" spans="1:6" ht="23.25" thickBot="1" x14ac:dyDescent="0.3">
      <c r="A300" s="54" t="s">
        <v>136</v>
      </c>
      <c r="B300" s="54" t="s">
        <v>8</v>
      </c>
      <c r="C300" s="55">
        <v>9</v>
      </c>
      <c r="D300" s="54" t="s">
        <v>221</v>
      </c>
      <c r="E300" s="53">
        <f t="shared" si="8"/>
        <v>0</v>
      </c>
      <c r="F300" s="53">
        <f t="shared" si="9"/>
        <v>95</v>
      </c>
    </row>
    <row r="301" spans="1:6" ht="23.25" thickBot="1" x14ac:dyDescent="0.3">
      <c r="A301" s="54" t="s">
        <v>136</v>
      </c>
      <c r="B301" s="54" t="s">
        <v>8</v>
      </c>
      <c r="C301" s="55">
        <v>10</v>
      </c>
      <c r="D301" s="54" t="s">
        <v>221</v>
      </c>
      <c r="E301" s="53">
        <f t="shared" si="8"/>
        <v>0</v>
      </c>
      <c r="F301" s="53">
        <f t="shared" si="9"/>
        <v>95</v>
      </c>
    </row>
    <row r="302" spans="1:6" ht="23.25" thickBot="1" x14ac:dyDescent="0.3">
      <c r="A302" s="54" t="s">
        <v>136</v>
      </c>
      <c r="B302" s="54" t="s">
        <v>9</v>
      </c>
      <c r="C302" s="55">
        <v>1</v>
      </c>
      <c r="D302" s="54" t="s">
        <v>174</v>
      </c>
      <c r="E302" s="53">
        <f t="shared" si="8"/>
        <v>0</v>
      </c>
      <c r="F302" s="53">
        <f t="shared" si="9"/>
        <v>73</v>
      </c>
    </row>
    <row r="303" spans="1:6" ht="23.25" thickBot="1" x14ac:dyDescent="0.3">
      <c r="A303" s="54" t="s">
        <v>136</v>
      </c>
      <c r="B303" s="54" t="s">
        <v>9</v>
      </c>
      <c r="C303" s="55">
        <v>2</v>
      </c>
      <c r="D303" s="54" t="s">
        <v>174</v>
      </c>
      <c r="E303" s="53">
        <f t="shared" si="8"/>
        <v>0</v>
      </c>
      <c r="F303" s="53">
        <f t="shared" si="9"/>
        <v>73</v>
      </c>
    </row>
    <row r="304" spans="1:6" ht="23.25" thickBot="1" x14ac:dyDescent="0.3">
      <c r="A304" s="54" t="s">
        <v>136</v>
      </c>
      <c r="B304" s="54" t="s">
        <v>9</v>
      </c>
      <c r="C304" s="55">
        <v>3</v>
      </c>
      <c r="D304" s="54" t="s">
        <v>222</v>
      </c>
      <c r="E304" s="53">
        <f t="shared" si="8"/>
        <v>0</v>
      </c>
      <c r="F304" s="53">
        <f t="shared" si="9"/>
        <v>62</v>
      </c>
    </row>
    <row r="305" spans="1:6" ht="23.25" thickBot="1" x14ac:dyDescent="0.3">
      <c r="A305" s="54" t="s">
        <v>136</v>
      </c>
      <c r="B305" s="54" t="s">
        <v>9</v>
      </c>
      <c r="C305" s="55">
        <v>4</v>
      </c>
      <c r="D305" s="54" t="s">
        <v>252</v>
      </c>
      <c r="E305" s="53">
        <f t="shared" si="8"/>
        <v>0</v>
      </c>
      <c r="F305" s="53">
        <f t="shared" si="9"/>
        <v>124</v>
      </c>
    </row>
    <row r="306" spans="1:6" ht="23.25" thickBot="1" x14ac:dyDescent="0.3">
      <c r="A306" s="54" t="s">
        <v>136</v>
      </c>
      <c r="B306" s="54" t="s">
        <v>9</v>
      </c>
      <c r="C306" s="55">
        <v>5</v>
      </c>
      <c r="D306" s="54" t="s">
        <v>252</v>
      </c>
      <c r="E306" s="53">
        <f t="shared" si="8"/>
        <v>0</v>
      </c>
      <c r="F306" s="53">
        <f t="shared" si="9"/>
        <v>124</v>
      </c>
    </row>
    <row r="307" spans="1:6" ht="23.25" thickBot="1" x14ac:dyDescent="0.3">
      <c r="A307" s="54" t="s">
        <v>136</v>
      </c>
      <c r="B307" s="54" t="s">
        <v>9</v>
      </c>
      <c r="C307" s="55">
        <v>6</v>
      </c>
      <c r="D307" s="54" t="s">
        <v>223</v>
      </c>
      <c r="E307" s="53">
        <f t="shared" si="8"/>
        <v>0</v>
      </c>
      <c r="F307" s="53">
        <f t="shared" si="9"/>
        <v>151</v>
      </c>
    </row>
    <row r="308" spans="1:6" ht="23.25" thickBot="1" x14ac:dyDescent="0.3">
      <c r="A308" s="54" t="s">
        <v>136</v>
      </c>
      <c r="B308" s="54" t="s">
        <v>9</v>
      </c>
      <c r="C308" s="55">
        <v>7</v>
      </c>
      <c r="D308" s="54" t="s">
        <v>224</v>
      </c>
      <c r="E308" s="53">
        <f t="shared" si="8"/>
        <v>0</v>
      </c>
      <c r="F308" s="53">
        <f t="shared" si="9"/>
        <v>152</v>
      </c>
    </row>
    <row r="309" spans="1:6" ht="23.25" thickBot="1" x14ac:dyDescent="0.3">
      <c r="A309" s="54" t="s">
        <v>136</v>
      </c>
      <c r="B309" s="54" t="s">
        <v>9</v>
      </c>
      <c r="C309" s="55">
        <v>8</v>
      </c>
      <c r="D309" s="54" t="s">
        <v>175</v>
      </c>
      <c r="E309" s="53">
        <f t="shared" si="8"/>
        <v>0</v>
      </c>
      <c r="F309" s="53">
        <f t="shared" si="9"/>
        <v>147</v>
      </c>
    </row>
    <row r="310" spans="1:6" ht="23.25" thickBot="1" x14ac:dyDescent="0.3">
      <c r="A310" s="54" t="s">
        <v>136</v>
      </c>
      <c r="B310" s="54" t="s">
        <v>9</v>
      </c>
      <c r="C310" s="55">
        <v>9</v>
      </c>
      <c r="D310" s="54" t="s">
        <v>175</v>
      </c>
      <c r="E310" s="53">
        <f t="shared" si="8"/>
        <v>0</v>
      </c>
      <c r="F310" s="53">
        <f t="shared" si="9"/>
        <v>147</v>
      </c>
    </row>
    <row r="311" spans="1:6" ht="23.25" thickBot="1" x14ac:dyDescent="0.3">
      <c r="A311" s="54" t="s">
        <v>136</v>
      </c>
      <c r="B311" s="54" t="s">
        <v>9</v>
      </c>
      <c r="C311" s="55">
        <v>10</v>
      </c>
      <c r="D311" s="54" t="s">
        <v>175</v>
      </c>
      <c r="E311" s="53">
        <f t="shared" si="8"/>
        <v>0</v>
      </c>
      <c r="F311" s="53">
        <f t="shared" si="9"/>
        <v>147</v>
      </c>
    </row>
    <row r="312" spans="1:6" ht="15.75" thickBot="1" x14ac:dyDescent="0.3">
      <c r="A312" s="54" t="s">
        <v>176</v>
      </c>
      <c r="B312" s="54" t="s">
        <v>177</v>
      </c>
      <c r="C312" s="55">
        <v>1</v>
      </c>
      <c r="D312" s="54" t="s">
        <v>789</v>
      </c>
      <c r="E312" s="53">
        <f t="shared" si="8"/>
        <v>0</v>
      </c>
      <c r="F312" s="53">
        <f t="shared" si="9"/>
        <v>52</v>
      </c>
    </row>
    <row r="313" spans="1:6" ht="15.75" thickBot="1" x14ac:dyDescent="0.3">
      <c r="A313" s="54" t="s">
        <v>176</v>
      </c>
      <c r="B313" s="54" t="s">
        <v>177</v>
      </c>
      <c r="C313" s="55">
        <v>2</v>
      </c>
      <c r="D313" s="54" t="s">
        <v>789</v>
      </c>
      <c r="E313" s="53">
        <f t="shared" si="8"/>
        <v>0</v>
      </c>
      <c r="F313" s="53">
        <f t="shared" si="9"/>
        <v>52</v>
      </c>
    </row>
    <row r="314" spans="1:6" ht="15.75" thickBot="1" x14ac:dyDescent="0.3">
      <c r="A314" s="54" t="s">
        <v>176</v>
      </c>
      <c r="B314" s="54" t="s">
        <v>177</v>
      </c>
      <c r="C314" s="55">
        <v>3</v>
      </c>
      <c r="D314" s="54" t="s">
        <v>789</v>
      </c>
      <c r="E314" s="53">
        <f>IF(LEN(D314)&lt;170,0,1)</f>
        <v>0</v>
      </c>
      <c r="F314" s="53">
        <f>LEN(D314)</f>
        <v>52</v>
      </c>
    </row>
    <row r="315" spans="1:6" ht="23.25" thickBot="1" x14ac:dyDescent="0.3">
      <c r="A315" s="54" t="s">
        <v>176</v>
      </c>
      <c r="B315" s="54" t="s">
        <v>177</v>
      </c>
      <c r="C315" s="55">
        <v>4</v>
      </c>
      <c r="D315" s="54" t="s">
        <v>790</v>
      </c>
      <c r="E315" s="53">
        <f>IF(LEN(D315)&lt;170,0,1)</f>
        <v>0</v>
      </c>
      <c r="F315" s="53">
        <f>LEN(D315)</f>
        <v>100</v>
      </c>
    </row>
    <row r="316" spans="1:6" ht="15.75" thickBot="1" x14ac:dyDescent="0.3">
      <c r="A316" s="54" t="s">
        <v>176</v>
      </c>
      <c r="B316" s="54" t="s">
        <v>177</v>
      </c>
      <c r="C316" s="55">
        <v>5</v>
      </c>
      <c r="D316" s="54" t="s">
        <v>788</v>
      </c>
      <c r="E316" s="53">
        <f t="shared" si="8"/>
        <v>0</v>
      </c>
      <c r="F316" s="53">
        <f t="shared" si="9"/>
        <v>62</v>
      </c>
    </row>
    <row r="317" spans="1:6" ht="15.75" thickBot="1" x14ac:dyDescent="0.3">
      <c r="A317" s="54" t="s">
        <v>176</v>
      </c>
      <c r="B317" s="54" t="s">
        <v>177</v>
      </c>
      <c r="C317" s="55">
        <v>6</v>
      </c>
      <c r="D317" s="54" t="s">
        <v>791</v>
      </c>
      <c r="E317" s="53">
        <f t="shared" si="8"/>
        <v>0</v>
      </c>
      <c r="F317" s="53">
        <f t="shared" si="9"/>
        <v>62</v>
      </c>
    </row>
    <row r="318" spans="1:6" ht="23.25" thickBot="1" x14ac:dyDescent="0.3">
      <c r="A318" s="54" t="s">
        <v>176</v>
      </c>
      <c r="B318" s="54" t="s">
        <v>177</v>
      </c>
      <c r="C318" s="55">
        <v>7</v>
      </c>
      <c r="D318" s="54" t="s">
        <v>838</v>
      </c>
      <c r="E318" s="53">
        <f t="shared" si="8"/>
        <v>0</v>
      </c>
      <c r="F318" s="53">
        <f t="shared" si="9"/>
        <v>109</v>
      </c>
    </row>
    <row r="319" spans="1:6" ht="23.25" thickBot="1" x14ac:dyDescent="0.3">
      <c r="A319" s="54" t="s">
        <v>176</v>
      </c>
      <c r="B319" s="54" t="s">
        <v>177</v>
      </c>
      <c r="C319" s="55">
        <v>8</v>
      </c>
      <c r="D319" s="54" t="s">
        <v>838</v>
      </c>
      <c r="E319" s="53">
        <f t="shared" si="8"/>
        <v>0</v>
      </c>
      <c r="F319" s="53">
        <f t="shared" si="9"/>
        <v>109</v>
      </c>
    </row>
    <row r="320" spans="1:6" ht="23.25" thickBot="1" x14ac:dyDescent="0.3">
      <c r="A320" s="54" t="s">
        <v>176</v>
      </c>
      <c r="B320" s="54" t="s">
        <v>177</v>
      </c>
      <c r="C320" s="55">
        <v>9</v>
      </c>
      <c r="D320" s="54" t="s">
        <v>838</v>
      </c>
      <c r="E320" s="53">
        <f t="shared" si="8"/>
        <v>0</v>
      </c>
      <c r="F320" s="53">
        <f t="shared" si="9"/>
        <v>109</v>
      </c>
    </row>
    <row r="321" spans="1:6" ht="23.25" thickBot="1" x14ac:dyDescent="0.3">
      <c r="A321" s="54" t="s">
        <v>176</v>
      </c>
      <c r="B321" s="54" t="s">
        <v>177</v>
      </c>
      <c r="C321" s="55">
        <v>10</v>
      </c>
      <c r="D321" s="54" t="s">
        <v>838</v>
      </c>
      <c r="E321" s="53">
        <f t="shared" si="8"/>
        <v>0</v>
      </c>
      <c r="F321" s="53">
        <f t="shared" si="9"/>
        <v>109</v>
      </c>
    </row>
    <row r="322" spans="1:6" ht="15.75" thickBot="1" x14ac:dyDescent="0.3">
      <c r="A322" s="54" t="s">
        <v>176</v>
      </c>
      <c r="B322" s="54" t="s">
        <v>178</v>
      </c>
      <c r="C322" s="55">
        <v>1</v>
      </c>
      <c r="D322" s="54" t="s">
        <v>253</v>
      </c>
      <c r="E322" s="53">
        <f t="shared" si="8"/>
        <v>0</v>
      </c>
      <c r="F322" s="53">
        <f t="shared" si="9"/>
        <v>63</v>
      </c>
    </row>
    <row r="323" spans="1:6" ht="15.75" thickBot="1" x14ac:dyDescent="0.3">
      <c r="A323" s="54" t="s">
        <v>176</v>
      </c>
      <c r="B323" s="54" t="s">
        <v>178</v>
      </c>
      <c r="C323" s="55">
        <v>2</v>
      </c>
      <c r="D323" s="54" t="s">
        <v>253</v>
      </c>
      <c r="E323" s="53">
        <f t="shared" ref="E323:E386" si="10">IF(LEN(D323)&lt;170,0,1)</f>
        <v>0</v>
      </c>
      <c r="F323" s="53">
        <f t="shared" ref="F323:F386" si="11">LEN(D323)</f>
        <v>63</v>
      </c>
    </row>
    <row r="324" spans="1:6" ht="15.75" thickBot="1" x14ac:dyDescent="0.3">
      <c r="A324" s="54" t="s">
        <v>176</v>
      </c>
      <c r="B324" s="54" t="s">
        <v>178</v>
      </c>
      <c r="C324" s="55">
        <v>3</v>
      </c>
      <c r="D324" s="54" t="s">
        <v>254</v>
      </c>
      <c r="E324" s="53">
        <f t="shared" si="10"/>
        <v>0</v>
      </c>
      <c r="F324" s="53">
        <f t="shared" si="11"/>
        <v>94</v>
      </c>
    </row>
    <row r="325" spans="1:6" ht="15.75" thickBot="1" x14ac:dyDescent="0.3">
      <c r="A325" s="54" t="s">
        <v>176</v>
      </c>
      <c r="B325" s="54" t="s">
        <v>178</v>
      </c>
      <c r="C325" s="55">
        <v>4</v>
      </c>
      <c r="D325" s="54" t="s">
        <v>254</v>
      </c>
      <c r="E325" s="53">
        <f t="shared" si="10"/>
        <v>0</v>
      </c>
      <c r="F325" s="53">
        <f t="shared" si="11"/>
        <v>94</v>
      </c>
    </row>
    <row r="326" spans="1:6" ht="15.75" thickBot="1" x14ac:dyDescent="0.3">
      <c r="A326" s="54" t="s">
        <v>176</v>
      </c>
      <c r="B326" s="54" t="s">
        <v>178</v>
      </c>
      <c r="C326" s="55">
        <v>5</v>
      </c>
      <c r="D326" s="54" t="s">
        <v>254</v>
      </c>
      <c r="E326" s="53">
        <f t="shared" si="10"/>
        <v>0</v>
      </c>
      <c r="F326" s="53">
        <f t="shared" si="11"/>
        <v>94</v>
      </c>
    </row>
    <row r="327" spans="1:6" ht="23.25" thickBot="1" x14ac:dyDescent="0.3">
      <c r="A327" s="54" t="s">
        <v>176</v>
      </c>
      <c r="B327" s="54" t="s">
        <v>178</v>
      </c>
      <c r="C327" s="55">
        <v>6</v>
      </c>
      <c r="D327" s="54" t="s">
        <v>255</v>
      </c>
      <c r="E327" s="53">
        <f t="shared" si="10"/>
        <v>0</v>
      </c>
      <c r="F327" s="53">
        <f t="shared" si="11"/>
        <v>136</v>
      </c>
    </row>
    <row r="328" spans="1:6" ht="23.25" thickBot="1" x14ac:dyDescent="0.3">
      <c r="A328" s="54" t="s">
        <v>176</v>
      </c>
      <c r="B328" s="54" t="s">
        <v>178</v>
      </c>
      <c r="C328" s="55">
        <v>7</v>
      </c>
      <c r="D328" s="54" t="s">
        <v>255</v>
      </c>
      <c r="E328" s="53">
        <f t="shared" si="10"/>
        <v>0</v>
      </c>
      <c r="F328" s="53">
        <f t="shared" si="11"/>
        <v>136</v>
      </c>
    </row>
    <row r="329" spans="1:6" ht="23.25" thickBot="1" x14ac:dyDescent="0.3">
      <c r="A329" s="54" t="s">
        <v>176</v>
      </c>
      <c r="B329" s="54" t="s">
        <v>178</v>
      </c>
      <c r="C329" s="55">
        <v>8</v>
      </c>
      <c r="D329" s="54" t="s">
        <v>255</v>
      </c>
      <c r="E329" s="53">
        <f t="shared" si="10"/>
        <v>0</v>
      </c>
      <c r="F329" s="53">
        <f t="shared" si="11"/>
        <v>136</v>
      </c>
    </row>
    <row r="330" spans="1:6" ht="23.25" thickBot="1" x14ac:dyDescent="0.3">
      <c r="A330" s="54" t="s">
        <v>176</v>
      </c>
      <c r="B330" s="54" t="s">
        <v>178</v>
      </c>
      <c r="C330" s="55">
        <v>9</v>
      </c>
      <c r="D330" s="54" t="s">
        <v>255</v>
      </c>
      <c r="E330" s="53">
        <f t="shared" si="10"/>
        <v>0</v>
      </c>
      <c r="F330" s="53">
        <f t="shared" si="11"/>
        <v>136</v>
      </c>
    </row>
    <row r="331" spans="1:6" ht="23.25" thickBot="1" x14ac:dyDescent="0.3">
      <c r="A331" s="54" t="s">
        <v>176</v>
      </c>
      <c r="B331" s="54" t="s">
        <v>178</v>
      </c>
      <c r="C331" s="55">
        <v>10</v>
      </c>
      <c r="D331" s="54" t="s">
        <v>225</v>
      </c>
      <c r="E331" s="53">
        <f t="shared" si="10"/>
        <v>0</v>
      </c>
      <c r="F331" s="53">
        <f t="shared" si="11"/>
        <v>140</v>
      </c>
    </row>
    <row r="332" spans="1:6" ht="15.75" thickBot="1" x14ac:dyDescent="0.3">
      <c r="A332" s="54" t="s">
        <v>176</v>
      </c>
      <c r="B332" s="54" t="s">
        <v>179</v>
      </c>
      <c r="C332" s="55">
        <v>1</v>
      </c>
      <c r="D332" s="54" t="s">
        <v>256</v>
      </c>
      <c r="E332" s="53">
        <f t="shared" si="10"/>
        <v>0</v>
      </c>
      <c r="F332" s="53">
        <f t="shared" si="11"/>
        <v>66</v>
      </c>
    </row>
    <row r="333" spans="1:6" ht="15.75" thickBot="1" x14ac:dyDescent="0.3">
      <c r="A333" s="54" t="s">
        <v>176</v>
      </c>
      <c r="B333" s="54" t="s">
        <v>179</v>
      </c>
      <c r="C333" s="55">
        <v>2</v>
      </c>
      <c r="D333" s="54" t="s">
        <v>256</v>
      </c>
      <c r="E333" s="53">
        <f t="shared" si="10"/>
        <v>0</v>
      </c>
      <c r="F333" s="53">
        <f t="shared" si="11"/>
        <v>66</v>
      </c>
    </row>
    <row r="334" spans="1:6" ht="15.75" thickBot="1" x14ac:dyDescent="0.3">
      <c r="A334" s="54" t="s">
        <v>176</v>
      </c>
      <c r="B334" s="54" t="s">
        <v>179</v>
      </c>
      <c r="C334" s="55">
        <v>3</v>
      </c>
      <c r="D334" s="54" t="s">
        <v>226</v>
      </c>
      <c r="E334" s="53">
        <f t="shared" si="10"/>
        <v>0</v>
      </c>
      <c r="F334" s="53">
        <f t="shared" si="11"/>
        <v>74</v>
      </c>
    </row>
    <row r="335" spans="1:6" ht="23.25" thickBot="1" x14ac:dyDescent="0.3">
      <c r="A335" s="54" t="s">
        <v>176</v>
      </c>
      <c r="B335" s="54" t="s">
        <v>179</v>
      </c>
      <c r="C335" s="55">
        <v>4</v>
      </c>
      <c r="D335" s="54" t="s">
        <v>227</v>
      </c>
      <c r="E335" s="53">
        <f t="shared" si="10"/>
        <v>0</v>
      </c>
      <c r="F335" s="53">
        <f t="shared" si="11"/>
        <v>108</v>
      </c>
    </row>
    <row r="336" spans="1:6" ht="15.75" thickBot="1" x14ac:dyDescent="0.3">
      <c r="A336" s="54" t="s">
        <v>176</v>
      </c>
      <c r="B336" s="54" t="s">
        <v>179</v>
      </c>
      <c r="C336" s="55">
        <v>5</v>
      </c>
      <c r="D336" s="54" t="s">
        <v>792</v>
      </c>
      <c r="E336" s="53">
        <f t="shared" si="10"/>
        <v>0</v>
      </c>
      <c r="F336" s="53">
        <f t="shared" si="11"/>
        <v>93</v>
      </c>
    </row>
    <row r="337" spans="1:6" ht="15.75" thickBot="1" x14ac:dyDescent="0.3">
      <c r="A337" s="54" t="s">
        <v>176</v>
      </c>
      <c r="B337" s="54" t="s">
        <v>179</v>
      </c>
      <c r="C337" s="55">
        <v>6</v>
      </c>
      <c r="D337" s="54" t="s">
        <v>792</v>
      </c>
      <c r="E337" s="53">
        <f t="shared" si="10"/>
        <v>0</v>
      </c>
      <c r="F337" s="53">
        <f t="shared" si="11"/>
        <v>93</v>
      </c>
    </row>
    <row r="338" spans="1:6" ht="15.75" thickBot="1" x14ac:dyDescent="0.3">
      <c r="A338" s="54" t="s">
        <v>176</v>
      </c>
      <c r="B338" s="54" t="s">
        <v>179</v>
      </c>
      <c r="C338" s="55">
        <v>7</v>
      </c>
      <c r="D338" s="54" t="s">
        <v>793</v>
      </c>
      <c r="E338" s="53">
        <f t="shared" si="10"/>
        <v>0</v>
      </c>
      <c r="F338" s="53">
        <f t="shared" si="11"/>
        <v>93</v>
      </c>
    </row>
    <row r="339" spans="1:6" ht="15.75" thickBot="1" x14ac:dyDescent="0.3">
      <c r="A339" s="54" t="s">
        <v>176</v>
      </c>
      <c r="B339" s="54" t="s">
        <v>179</v>
      </c>
      <c r="C339" s="55">
        <v>8</v>
      </c>
      <c r="D339" s="54" t="s">
        <v>793</v>
      </c>
      <c r="E339" s="53">
        <f t="shared" si="10"/>
        <v>0</v>
      </c>
      <c r="F339" s="53">
        <f t="shared" si="11"/>
        <v>93</v>
      </c>
    </row>
    <row r="340" spans="1:6" ht="15.75" thickBot="1" x14ac:dyDescent="0.3">
      <c r="A340" s="54" t="s">
        <v>176</v>
      </c>
      <c r="B340" s="54" t="s">
        <v>179</v>
      </c>
      <c r="C340" s="55">
        <v>9</v>
      </c>
      <c r="D340" s="54" t="s">
        <v>793</v>
      </c>
      <c r="E340" s="53">
        <f t="shared" si="10"/>
        <v>0</v>
      </c>
      <c r="F340" s="53">
        <f t="shared" si="11"/>
        <v>93</v>
      </c>
    </row>
    <row r="341" spans="1:6" ht="15.75" thickBot="1" x14ac:dyDescent="0.3">
      <c r="A341" s="54" t="s">
        <v>176</v>
      </c>
      <c r="B341" s="54" t="s">
        <v>179</v>
      </c>
      <c r="C341" s="55">
        <v>10</v>
      </c>
      <c r="D341" s="54" t="s">
        <v>793</v>
      </c>
      <c r="E341" s="53">
        <f t="shared" si="10"/>
        <v>0</v>
      </c>
      <c r="F341" s="53">
        <f t="shared" si="11"/>
        <v>93</v>
      </c>
    </row>
    <row r="342" spans="1:6" ht="15.75" thickBot="1" x14ac:dyDescent="0.3">
      <c r="A342" s="54" t="s">
        <v>176</v>
      </c>
      <c r="B342" s="54" t="s">
        <v>180</v>
      </c>
      <c r="C342" s="55">
        <v>1</v>
      </c>
      <c r="D342" s="54" t="s">
        <v>794</v>
      </c>
      <c r="E342" s="53">
        <f t="shared" si="10"/>
        <v>0</v>
      </c>
      <c r="F342" s="53">
        <f t="shared" si="11"/>
        <v>56</v>
      </c>
    </row>
    <row r="343" spans="1:6" ht="15.75" thickBot="1" x14ac:dyDescent="0.3">
      <c r="A343" s="54" t="s">
        <v>176</v>
      </c>
      <c r="B343" s="54" t="s">
        <v>180</v>
      </c>
      <c r="C343" s="55">
        <v>2</v>
      </c>
      <c r="D343" s="54" t="s">
        <v>228</v>
      </c>
      <c r="E343" s="53">
        <f t="shared" si="10"/>
        <v>0</v>
      </c>
      <c r="F343" s="53">
        <f t="shared" si="11"/>
        <v>82</v>
      </c>
    </row>
    <row r="344" spans="1:6" ht="15.75" thickBot="1" x14ac:dyDescent="0.3">
      <c r="A344" s="54" t="s">
        <v>176</v>
      </c>
      <c r="B344" s="54" t="s">
        <v>180</v>
      </c>
      <c r="C344" s="55">
        <v>3</v>
      </c>
      <c r="D344" s="54" t="s">
        <v>228</v>
      </c>
      <c r="E344" s="53">
        <f t="shared" si="10"/>
        <v>0</v>
      </c>
      <c r="F344" s="53">
        <f t="shared" si="11"/>
        <v>82</v>
      </c>
    </row>
    <row r="345" spans="1:6" ht="23.25" thickBot="1" x14ac:dyDescent="0.3">
      <c r="A345" s="54" t="s">
        <v>176</v>
      </c>
      <c r="B345" s="54" t="s">
        <v>180</v>
      </c>
      <c r="C345" s="55">
        <v>4</v>
      </c>
      <c r="D345" s="54" t="s">
        <v>795</v>
      </c>
      <c r="E345" s="53">
        <f t="shared" si="10"/>
        <v>0</v>
      </c>
      <c r="F345" s="53">
        <f t="shared" si="11"/>
        <v>110</v>
      </c>
    </row>
    <row r="346" spans="1:6" ht="23.25" thickBot="1" x14ac:dyDescent="0.3">
      <c r="A346" s="54" t="s">
        <v>176</v>
      </c>
      <c r="B346" s="54" t="s">
        <v>180</v>
      </c>
      <c r="C346" s="55">
        <v>5</v>
      </c>
      <c r="D346" s="54" t="s">
        <v>796</v>
      </c>
      <c r="E346" s="53">
        <f t="shared" si="10"/>
        <v>0</v>
      </c>
      <c r="F346" s="53">
        <f t="shared" si="11"/>
        <v>110</v>
      </c>
    </row>
    <row r="347" spans="1:6" ht="23.25" thickBot="1" x14ac:dyDescent="0.3">
      <c r="A347" s="54" t="s">
        <v>176</v>
      </c>
      <c r="B347" s="54" t="s">
        <v>180</v>
      </c>
      <c r="C347" s="55">
        <v>6</v>
      </c>
      <c r="D347" s="54" t="s">
        <v>796</v>
      </c>
      <c r="E347" s="53">
        <f t="shared" si="10"/>
        <v>0</v>
      </c>
      <c r="F347" s="53">
        <f t="shared" si="11"/>
        <v>110</v>
      </c>
    </row>
    <row r="348" spans="1:6" ht="23.25" thickBot="1" x14ac:dyDescent="0.3">
      <c r="A348" s="54" t="s">
        <v>176</v>
      </c>
      <c r="B348" s="54" t="s">
        <v>180</v>
      </c>
      <c r="C348" s="55">
        <v>7</v>
      </c>
      <c r="D348" s="54" t="s">
        <v>796</v>
      </c>
      <c r="E348" s="53">
        <f t="shared" si="10"/>
        <v>0</v>
      </c>
      <c r="F348" s="53">
        <f t="shared" si="11"/>
        <v>110</v>
      </c>
    </row>
    <row r="349" spans="1:6" ht="23.25" thickBot="1" x14ac:dyDescent="0.3">
      <c r="A349" s="54" t="s">
        <v>176</v>
      </c>
      <c r="B349" s="54" t="s">
        <v>180</v>
      </c>
      <c r="C349" s="55">
        <v>8</v>
      </c>
      <c r="D349" s="54" t="s">
        <v>796</v>
      </c>
      <c r="E349" s="53">
        <f t="shared" si="10"/>
        <v>0</v>
      </c>
      <c r="F349" s="53">
        <f t="shared" si="11"/>
        <v>110</v>
      </c>
    </row>
    <row r="350" spans="1:6" ht="23.25" thickBot="1" x14ac:dyDescent="0.3">
      <c r="A350" s="54" t="s">
        <v>176</v>
      </c>
      <c r="B350" s="54" t="s">
        <v>180</v>
      </c>
      <c r="C350" s="55">
        <v>9</v>
      </c>
      <c r="D350" s="54" t="s">
        <v>796</v>
      </c>
      <c r="E350" s="53">
        <f t="shared" si="10"/>
        <v>0</v>
      </c>
      <c r="F350" s="53">
        <f t="shared" si="11"/>
        <v>110</v>
      </c>
    </row>
    <row r="351" spans="1:6" ht="23.25" thickBot="1" x14ac:dyDescent="0.3">
      <c r="A351" s="54" t="s">
        <v>176</v>
      </c>
      <c r="B351" s="54" t="s">
        <v>180</v>
      </c>
      <c r="C351" s="55">
        <v>10</v>
      </c>
      <c r="D351" s="54" t="s">
        <v>796</v>
      </c>
      <c r="E351" s="53">
        <f t="shared" si="10"/>
        <v>0</v>
      </c>
      <c r="F351" s="53">
        <f t="shared" si="11"/>
        <v>110</v>
      </c>
    </row>
    <row r="352" spans="1:6" ht="23.25" thickBot="1" x14ac:dyDescent="0.3">
      <c r="A352" s="54" t="s">
        <v>176</v>
      </c>
      <c r="B352" s="54" t="s">
        <v>181</v>
      </c>
      <c r="C352" s="55">
        <v>1</v>
      </c>
      <c r="D352" s="54" t="s">
        <v>797</v>
      </c>
      <c r="E352" s="53">
        <f t="shared" si="10"/>
        <v>0</v>
      </c>
      <c r="F352" s="53">
        <f t="shared" si="11"/>
        <v>57</v>
      </c>
    </row>
    <row r="353" spans="1:6" ht="23.25" thickBot="1" x14ac:dyDescent="0.3">
      <c r="A353" s="54" t="s">
        <v>176</v>
      </c>
      <c r="B353" s="54" t="s">
        <v>181</v>
      </c>
      <c r="C353" s="55">
        <v>2</v>
      </c>
      <c r="D353" s="54" t="s">
        <v>797</v>
      </c>
      <c r="E353" s="53">
        <f t="shared" si="10"/>
        <v>0</v>
      </c>
      <c r="F353" s="53">
        <f t="shared" si="11"/>
        <v>57</v>
      </c>
    </row>
    <row r="354" spans="1:6" ht="23.25" thickBot="1" x14ac:dyDescent="0.3">
      <c r="A354" s="54" t="s">
        <v>176</v>
      </c>
      <c r="B354" s="54" t="s">
        <v>181</v>
      </c>
      <c r="C354" s="55">
        <v>3</v>
      </c>
      <c r="D354" s="54" t="s">
        <v>797</v>
      </c>
      <c r="E354" s="53">
        <f t="shared" si="10"/>
        <v>0</v>
      </c>
      <c r="F354" s="53">
        <f t="shared" si="11"/>
        <v>57</v>
      </c>
    </row>
    <row r="355" spans="1:6" ht="23.25" thickBot="1" x14ac:dyDescent="0.3">
      <c r="A355" s="54" t="s">
        <v>176</v>
      </c>
      <c r="B355" s="54" t="s">
        <v>181</v>
      </c>
      <c r="C355" s="55">
        <v>4</v>
      </c>
      <c r="D355" s="54" t="s">
        <v>798</v>
      </c>
      <c r="E355" s="53">
        <f t="shared" si="10"/>
        <v>0</v>
      </c>
      <c r="F355" s="53">
        <f t="shared" si="11"/>
        <v>98</v>
      </c>
    </row>
    <row r="356" spans="1:6" ht="23.25" thickBot="1" x14ac:dyDescent="0.3">
      <c r="A356" s="54" t="s">
        <v>176</v>
      </c>
      <c r="B356" s="54" t="s">
        <v>181</v>
      </c>
      <c r="C356" s="55">
        <v>5</v>
      </c>
      <c r="D356" s="54" t="s">
        <v>799</v>
      </c>
      <c r="E356" s="53">
        <f t="shared" si="10"/>
        <v>0</v>
      </c>
      <c r="F356" s="53">
        <f t="shared" si="11"/>
        <v>99</v>
      </c>
    </row>
    <row r="357" spans="1:6" ht="23.25" thickBot="1" x14ac:dyDescent="0.3">
      <c r="A357" s="54" t="s">
        <v>176</v>
      </c>
      <c r="B357" s="54" t="s">
        <v>181</v>
      </c>
      <c r="C357" s="55">
        <v>6</v>
      </c>
      <c r="D357" s="54" t="s">
        <v>229</v>
      </c>
      <c r="E357" s="53">
        <f t="shared" si="10"/>
        <v>0</v>
      </c>
      <c r="F357" s="53">
        <f t="shared" si="11"/>
        <v>135</v>
      </c>
    </row>
    <row r="358" spans="1:6" ht="23.25" thickBot="1" x14ac:dyDescent="0.3">
      <c r="A358" s="54" t="s">
        <v>176</v>
      </c>
      <c r="B358" s="54" t="s">
        <v>181</v>
      </c>
      <c r="C358" s="55">
        <v>7</v>
      </c>
      <c r="D358" s="54" t="s">
        <v>229</v>
      </c>
      <c r="E358" s="53">
        <f t="shared" si="10"/>
        <v>0</v>
      </c>
      <c r="F358" s="53">
        <f t="shared" si="11"/>
        <v>135</v>
      </c>
    </row>
    <row r="359" spans="1:6" ht="23.25" thickBot="1" x14ac:dyDescent="0.3">
      <c r="A359" s="54" t="s">
        <v>176</v>
      </c>
      <c r="B359" s="54" t="s">
        <v>181</v>
      </c>
      <c r="C359" s="55">
        <v>8</v>
      </c>
      <c r="D359" s="54" t="s">
        <v>229</v>
      </c>
      <c r="E359" s="53">
        <f t="shared" si="10"/>
        <v>0</v>
      </c>
      <c r="F359" s="53">
        <f t="shared" si="11"/>
        <v>135</v>
      </c>
    </row>
    <row r="360" spans="1:6" ht="23.25" thickBot="1" x14ac:dyDescent="0.3">
      <c r="A360" s="54" t="s">
        <v>176</v>
      </c>
      <c r="B360" s="54" t="s">
        <v>181</v>
      </c>
      <c r="C360" s="55">
        <v>9</v>
      </c>
      <c r="D360" s="54" t="s">
        <v>229</v>
      </c>
      <c r="E360" s="53">
        <f t="shared" si="10"/>
        <v>0</v>
      </c>
      <c r="F360" s="53">
        <f t="shared" si="11"/>
        <v>135</v>
      </c>
    </row>
    <row r="361" spans="1:6" ht="23.25" thickBot="1" x14ac:dyDescent="0.3">
      <c r="A361" s="54" t="s">
        <v>176</v>
      </c>
      <c r="B361" s="54" t="s">
        <v>181</v>
      </c>
      <c r="C361" s="55">
        <v>10</v>
      </c>
      <c r="D361" s="54" t="s">
        <v>229</v>
      </c>
      <c r="E361" s="53">
        <f t="shared" si="10"/>
        <v>0</v>
      </c>
      <c r="F361" s="53">
        <f t="shared" si="11"/>
        <v>135</v>
      </c>
    </row>
    <row r="362" spans="1:6" ht="23.25" thickBot="1" x14ac:dyDescent="0.3">
      <c r="A362" s="54" t="s">
        <v>176</v>
      </c>
      <c r="B362" s="54" t="s">
        <v>182</v>
      </c>
      <c r="C362" s="55">
        <v>1</v>
      </c>
      <c r="D362" s="54" t="s">
        <v>800</v>
      </c>
      <c r="E362" s="53">
        <f t="shared" si="10"/>
        <v>0</v>
      </c>
      <c r="F362" s="53">
        <f t="shared" si="11"/>
        <v>101</v>
      </c>
    </row>
    <row r="363" spans="1:6" ht="23.25" thickBot="1" x14ac:dyDescent="0.3">
      <c r="A363" s="54" t="s">
        <v>176</v>
      </c>
      <c r="B363" s="54" t="s">
        <v>182</v>
      </c>
      <c r="C363" s="55">
        <v>2</v>
      </c>
      <c r="D363" s="54" t="s">
        <v>800</v>
      </c>
      <c r="E363" s="53">
        <f t="shared" si="10"/>
        <v>0</v>
      </c>
      <c r="F363" s="53">
        <f t="shared" si="11"/>
        <v>101</v>
      </c>
    </row>
    <row r="364" spans="1:6" ht="23.25" thickBot="1" x14ac:dyDescent="0.3">
      <c r="A364" s="54" t="s">
        <v>176</v>
      </c>
      <c r="B364" s="54" t="s">
        <v>182</v>
      </c>
      <c r="C364" s="55">
        <v>3</v>
      </c>
      <c r="D364" s="54" t="s">
        <v>801</v>
      </c>
      <c r="E364" s="53">
        <f t="shared" si="10"/>
        <v>0</v>
      </c>
      <c r="F364" s="53">
        <f t="shared" si="11"/>
        <v>122</v>
      </c>
    </row>
    <row r="365" spans="1:6" ht="23.25" thickBot="1" x14ac:dyDescent="0.3">
      <c r="A365" s="54" t="s">
        <v>176</v>
      </c>
      <c r="B365" s="54" t="s">
        <v>182</v>
      </c>
      <c r="C365" s="55">
        <v>4</v>
      </c>
      <c r="D365" s="54" t="s">
        <v>801</v>
      </c>
      <c r="E365" s="53">
        <f t="shared" si="10"/>
        <v>0</v>
      </c>
      <c r="F365" s="53">
        <f t="shared" si="11"/>
        <v>122</v>
      </c>
    </row>
    <row r="366" spans="1:6" ht="23.25" thickBot="1" x14ac:dyDescent="0.3">
      <c r="A366" s="54" t="s">
        <v>176</v>
      </c>
      <c r="B366" s="54" t="s">
        <v>182</v>
      </c>
      <c r="C366" s="55">
        <v>5</v>
      </c>
      <c r="D366" s="54" t="s">
        <v>801</v>
      </c>
      <c r="E366" s="53">
        <f t="shared" si="10"/>
        <v>0</v>
      </c>
      <c r="F366" s="53">
        <f t="shared" si="11"/>
        <v>122</v>
      </c>
    </row>
    <row r="367" spans="1:6" ht="23.25" thickBot="1" x14ac:dyDescent="0.3">
      <c r="A367" s="54" t="s">
        <v>176</v>
      </c>
      <c r="B367" s="54" t="s">
        <v>182</v>
      </c>
      <c r="C367" s="55">
        <v>6</v>
      </c>
      <c r="D367" s="54" t="s">
        <v>802</v>
      </c>
      <c r="E367" s="53">
        <f t="shared" si="10"/>
        <v>0</v>
      </c>
      <c r="F367" s="53">
        <f t="shared" si="11"/>
        <v>104</v>
      </c>
    </row>
    <row r="368" spans="1:6" ht="23.25" thickBot="1" x14ac:dyDescent="0.3">
      <c r="A368" s="54" t="s">
        <v>176</v>
      </c>
      <c r="B368" s="54" t="s">
        <v>182</v>
      </c>
      <c r="C368" s="55">
        <v>7</v>
      </c>
      <c r="D368" s="54" t="s">
        <v>802</v>
      </c>
      <c r="E368" s="53">
        <f t="shared" si="10"/>
        <v>0</v>
      </c>
      <c r="F368" s="53">
        <f t="shared" si="11"/>
        <v>104</v>
      </c>
    </row>
    <row r="369" spans="1:6" ht="23.25" thickBot="1" x14ac:dyDescent="0.3">
      <c r="A369" s="54" t="s">
        <v>176</v>
      </c>
      <c r="B369" s="54" t="s">
        <v>182</v>
      </c>
      <c r="C369" s="55">
        <v>8</v>
      </c>
      <c r="D369" s="54" t="s">
        <v>802</v>
      </c>
      <c r="E369" s="53">
        <f t="shared" si="10"/>
        <v>0</v>
      </c>
      <c r="F369" s="53">
        <f t="shared" si="11"/>
        <v>104</v>
      </c>
    </row>
    <row r="370" spans="1:6" ht="23.25" thickBot="1" x14ac:dyDescent="0.3">
      <c r="A370" s="54" t="s">
        <v>176</v>
      </c>
      <c r="B370" s="54" t="s">
        <v>182</v>
      </c>
      <c r="C370" s="55">
        <v>9</v>
      </c>
      <c r="D370" s="54" t="s">
        <v>802</v>
      </c>
      <c r="E370" s="53">
        <f t="shared" si="10"/>
        <v>0</v>
      </c>
      <c r="F370" s="53">
        <f t="shared" si="11"/>
        <v>104</v>
      </c>
    </row>
    <row r="371" spans="1:6" ht="23.25" thickBot="1" x14ac:dyDescent="0.3">
      <c r="A371" s="54" t="s">
        <v>176</v>
      </c>
      <c r="B371" s="54" t="s">
        <v>182</v>
      </c>
      <c r="C371" s="55">
        <v>10</v>
      </c>
      <c r="D371" s="54" t="s">
        <v>802</v>
      </c>
      <c r="E371" s="53">
        <f t="shared" si="10"/>
        <v>0</v>
      </c>
      <c r="F371" s="53">
        <f t="shared" si="11"/>
        <v>104</v>
      </c>
    </row>
    <row r="372" spans="1:6" ht="15.75" thickBot="1" x14ac:dyDescent="0.3">
      <c r="A372" s="54" t="s">
        <v>176</v>
      </c>
      <c r="B372" s="54" t="s">
        <v>183</v>
      </c>
      <c r="C372" s="55">
        <v>1</v>
      </c>
      <c r="D372" s="54" t="s">
        <v>257</v>
      </c>
      <c r="E372" s="53">
        <f t="shared" si="10"/>
        <v>0</v>
      </c>
      <c r="F372" s="53">
        <f t="shared" si="11"/>
        <v>84</v>
      </c>
    </row>
    <row r="373" spans="1:6" ht="15.75" thickBot="1" x14ac:dyDescent="0.3">
      <c r="A373" s="54" t="s">
        <v>176</v>
      </c>
      <c r="B373" s="54" t="s">
        <v>183</v>
      </c>
      <c r="C373" s="55">
        <v>2</v>
      </c>
      <c r="D373" s="54" t="s">
        <v>257</v>
      </c>
      <c r="E373" s="53">
        <f t="shared" si="10"/>
        <v>0</v>
      </c>
      <c r="F373" s="53">
        <f t="shared" si="11"/>
        <v>84</v>
      </c>
    </row>
    <row r="374" spans="1:6" ht="15.75" thickBot="1" x14ac:dyDescent="0.3">
      <c r="A374" s="54" t="s">
        <v>176</v>
      </c>
      <c r="B374" s="54" t="s">
        <v>183</v>
      </c>
      <c r="C374" s="55">
        <v>3</v>
      </c>
      <c r="D374" s="54" t="s">
        <v>258</v>
      </c>
      <c r="E374" s="53">
        <f t="shared" si="10"/>
        <v>0</v>
      </c>
      <c r="F374" s="53">
        <f t="shared" si="11"/>
        <v>76</v>
      </c>
    </row>
    <row r="375" spans="1:6" ht="15.75" thickBot="1" x14ac:dyDescent="0.3">
      <c r="A375" s="54" t="s">
        <v>176</v>
      </c>
      <c r="B375" s="54" t="s">
        <v>183</v>
      </c>
      <c r="C375" s="55">
        <v>4</v>
      </c>
      <c r="D375" s="54" t="s">
        <v>258</v>
      </c>
      <c r="E375" s="53">
        <f t="shared" si="10"/>
        <v>0</v>
      </c>
      <c r="F375" s="53">
        <f t="shared" si="11"/>
        <v>76</v>
      </c>
    </row>
    <row r="376" spans="1:6" ht="15.75" thickBot="1" x14ac:dyDescent="0.3">
      <c r="A376" s="54" t="s">
        <v>176</v>
      </c>
      <c r="B376" s="54" t="s">
        <v>183</v>
      </c>
      <c r="C376" s="55">
        <v>5</v>
      </c>
      <c r="D376" s="54" t="s">
        <v>258</v>
      </c>
      <c r="E376" s="53">
        <f t="shared" si="10"/>
        <v>0</v>
      </c>
      <c r="F376" s="53">
        <f t="shared" si="11"/>
        <v>76</v>
      </c>
    </row>
    <row r="377" spans="1:6" ht="23.25" thickBot="1" x14ac:dyDescent="0.3">
      <c r="A377" s="54" t="s">
        <v>176</v>
      </c>
      <c r="B377" s="54" t="s">
        <v>183</v>
      </c>
      <c r="C377" s="55">
        <v>6</v>
      </c>
      <c r="D377" s="54" t="s">
        <v>230</v>
      </c>
      <c r="E377" s="53">
        <f t="shared" si="10"/>
        <v>0</v>
      </c>
      <c r="F377" s="53">
        <f t="shared" si="11"/>
        <v>113</v>
      </c>
    </row>
    <row r="378" spans="1:6" ht="23.25" thickBot="1" x14ac:dyDescent="0.3">
      <c r="A378" s="54" t="s">
        <v>176</v>
      </c>
      <c r="B378" s="54" t="s">
        <v>183</v>
      </c>
      <c r="C378" s="55">
        <v>7</v>
      </c>
      <c r="D378" s="54" t="s">
        <v>230</v>
      </c>
      <c r="E378" s="53">
        <f t="shared" si="10"/>
        <v>0</v>
      </c>
      <c r="F378" s="53">
        <f t="shared" si="11"/>
        <v>113</v>
      </c>
    </row>
    <row r="379" spans="1:6" ht="23.25" thickBot="1" x14ac:dyDescent="0.3">
      <c r="A379" s="54" t="s">
        <v>176</v>
      </c>
      <c r="B379" s="54" t="s">
        <v>183</v>
      </c>
      <c r="C379" s="55">
        <v>8</v>
      </c>
      <c r="D379" s="54" t="s">
        <v>230</v>
      </c>
      <c r="E379" s="53">
        <f t="shared" si="10"/>
        <v>0</v>
      </c>
      <c r="F379" s="53">
        <f t="shared" si="11"/>
        <v>113</v>
      </c>
    </row>
    <row r="380" spans="1:6" ht="23.25" thickBot="1" x14ac:dyDescent="0.3">
      <c r="A380" s="54" t="s">
        <v>176</v>
      </c>
      <c r="B380" s="54" t="s">
        <v>183</v>
      </c>
      <c r="C380" s="55">
        <v>9</v>
      </c>
      <c r="D380" s="54" t="s">
        <v>230</v>
      </c>
      <c r="E380" s="53">
        <f t="shared" si="10"/>
        <v>0</v>
      </c>
      <c r="F380" s="53">
        <f t="shared" si="11"/>
        <v>113</v>
      </c>
    </row>
    <row r="381" spans="1:6" ht="23.25" thickBot="1" x14ac:dyDescent="0.3">
      <c r="A381" s="54" t="s">
        <v>176</v>
      </c>
      <c r="B381" s="54" t="s">
        <v>183</v>
      </c>
      <c r="C381" s="55">
        <v>10</v>
      </c>
      <c r="D381" s="54" t="s">
        <v>230</v>
      </c>
      <c r="E381" s="53">
        <f t="shared" si="10"/>
        <v>0</v>
      </c>
      <c r="F381" s="53">
        <f t="shared" si="11"/>
        <v>113</v>
      </c>
    </row>
    <row r="382" spans="1:6" ht="23.25" thickBot="1" x14ac:dyDescent="0.3">
      <c r="A382" s="54" t="s">
        <v>176</v>
      </c>
      <c r="B382" s="54" t="s">
        <v>184</v>
      </c>
      <c r="C382" s="55">
        <v>1</v>
      </c>
      <c r="D382" s="54" t="s">
        <v>259</v>
      </c>
      <c r="E382" s="53">
        <f t="shared" si="10"/>
        <v>0</v>
      </c>
      <c r="F382" s="53">
        <f t="shared" si="11"/>
        <v>97</v>
      </c>
    </row>
    <row r="383" spans="1:6" ht="23.25" thickBot="1" x14ac:dyDescent="0.3">
      <c r="A383" s="54" t="s">
        <v>176</v>
      </c>
      <c r="B383" s="54" t="s">
        <v>184</v>
      </c>
      <c r="C383" s="55">
        <v>2</v>
      </c>
      <c r="D383" s="54" t="s">
        <v>259</v>
      </c>
      <c r="E383" s="53">
        <f t="shared" si="10"/>
        <v>0</v>
      </c>
      <c r="F383" s="53">
        <f t="shared" si="11"/>
        <v>97</v>
      </c>
    </row>
    <row r="384" spans="1:6" ht="23.25" thickBot="1" x14ac:dyDescent="0.3">
      <c r="A384" s="54" t="s">
        <v>176</v>
      </c>
      <c r="B384" s="54" t="s">
        <v>184</v>
      </c>
      <c r="C384" s="55">
        <v>3</v>
      </c>
      <c r="D384" s="54" t="s">
        <v>260</v>
      </c>
      <c r="E384" s="53">
        <f t="shared" si="10"/>
        <v>0</v>
      </c>
      <c r="F384" s="53">
        <f t="shared" si="11"/>
        <v>100</v>
      </c>
    </row>
    <row r="385" spans="1:6" ht="23.25" thickBot="1" x14ac:dyDescent="0.3">
      <c r="A385" s="54" t="s">
        <v>176</v>
      </c>
      <c r="B385" s="54" t="s">
        <v>184</v>
      </c>
      <c r="C385" s="55">
        <v>4</v>
      </c>
      <c r="D385" s="54" t="s">
        <v>260</v>
      </c>
      <c r="E385" s="53">
        <f t="shared" si="10"/>
        <v>0</v>
      </c>
      <c r="F385" s="53">
        <f t="shared" si="11"/>
        <v>100</v>
      </c>
    </row>
    <row r="386" spans="1:6" ht="15.75" thickBot="1" x14ac:dyDescent="0.3">
      <c r="A386" s="54" t="s">
        <v>176</v>
      </c>
      <c r="B386" s="54" t="s">
        <v>184</v>
      </c>
      <c r="C386" s="55">
        <v>5</v>
      </c>
      <c r="D386" s="54" t="s">
        <v>261</v>
      </c>
      <c r="E386" s="53">
        <f t="shared" si="10"/>
        <v>0</v>
      </c>
      <c r="F386" s="53">
        <f t="shared" si="11"/>
        <v>90</v>
      </c>
    </row>
    <row r="387" spans="1:6" ht="23.25" thickBot="1" x14ac:dyDescent="0.3">
      <c r="A387" s="54" t="s">
        <v>176</v>
      </c>
      <c r="B387" s="54" t="s">
        <v>184</v>
      </c>
      <c r="C387" s="55">
        <v>6</v>
      </c>
      <c r="D387" s="54" t="s">
        <v>231</v>
      </c>
      <c r="E387" s="53">
        <f t="shared" ref="E387:E450" si="12">IF(LEN(D387)&lt;170,0,1)</f>
        <v>0</v>
      </c>
      <c r="F387" s="53">
        <f t="shared" ref="F387:F450" si="13">LEN(D387)</f>
        <v>99</v>
      </c>
    </row>
    <row r="388" spans="1:6" ht="23.25" thickBot="1" x14ac:dyDescent="0.3">
      <c r="A388" s="54" t="s">
        <v>176</v>
      </c>
      <c r="B388" s="54" t="s">
        <v>184</v>
      </c>
      <c r="C388" s="55">
        <v>7</v>
      </c>
      <c r="D388" s="54" t="s">
        <v>231</v>
      </c>
      <c r="E388" s="53">
        <f t="shared" si="12"/>
        <v>0</v>
      </c>
      <c r="F388" s="53">
        <f t="shared" si="13"/>
        <v>99</v>
      </c>
    </row>
    <row r="389" spans="1:6" ht="23.25" thickBot="1" x14ac:dyDescent="0.3">
      <c r="A389" s="54" t="s">
        <v>176</v>
      </c>
      <c r="B389" s="54" t="s">
        <v>184</v>
      </c>
      <c r="C389" s="55">
        <v>8</v>
      </c>
      <c r="D389" s="54" t="s">
        <v>231</v>
      </c>
      <c r="E389" s="53">
        <f t="shared" si="12"/>
        <v>0</v>
      </c>
      <c r="F389" s="53">
        <f t="shared" si="13"/>
        <v>99</v>
      </c>
    </row>
    <row r="390" spans="1:6" ht="23.25" thickBot="1" x14ac:dyDescent="0.3">
      <c r="A390" s="54" t="s">
        <v>176</v>
      </c>
      <c r="B390" s="54" t="s">
        <v>184</v>
      </c>
      <c r="C390" s="55">
        <v>9</v>
      </c>
      <c r="D390" s="54" t="s">
        <v>231</v>
      </c>
      <c r="E390" s="53">
        <f t="shared" si="12"/>
        <v>0</v>
      </c>
      <c r="F390" s="53">
        <f t="shared" si="13"/>
        <v>99</v>
      </c>
    </row>
    <row r="391" spans="1:6" ht="23.25" thickBot="1" x14ac:dyDescent="0.3">
      <c r="A391" s="54" t="s">
        <v>176</v>
      </c>
      <c r="B391" s="54" t="s">
        <v>184</v>
      </c>
      <c r="C391" s="55">
        <v>10</v>
      </c>
      <c r="D391" s="54" t="s">
        <v>231</v>
      </c>
      <c r="E391" s="53">
        <f t="shared" si="12"/>
        <v>0</v>
      </c>
      <c r="F391" s="53">
        <f t="shared" si="13"/>
        <v>99</v>
      </c>
    </row>
    <row r="392" spans="1:6" ht="15.75" thickBot="1" x14ac:dyDescent="0.3">
      <c r="A392" s="54" t="s">
        <v>176</v>
      </c>
      <c r="B392" s="54" t="s">
        <v>185</v>
      </c>
      <c r="C392" s="55">
        <v>1</v>
      </c>
      <c r="D392" s="54" t="s">
        <v>232</v>
      </c>
      <c r="E392" s="53">
        <f t="shared" si="12"/>
        <v>0</v>
      </c>
      <c r="F392" s="53">
        <f t="shared" si="13"/>
        <v>66</v>
      </c>
    </row>
    <row r="393" spans="1:6" ht="15.75" thickBot="1" x14ac:dyDescent="0.3">
      <c r="A393" s="54" t="s">
        <v>176</v>
      </c>
      <c r="B393" s="54" t="s">
        <v>185</v>
      </c>
      <c r="C393" s="55">
        <v>2</v>
      </c>
      <c r="D393" s="54" t="s">
        <v>232</v>
      </c>
      <c r="E393" s="53">
        <f t="shared" si="12"/>
        <v>0</v>
      </c>
      <c r="F393" s="53">
        <f t="shared" si="13"/>
        <v>66</v>
      </c>
    </row>
    <row r="394" spans="1:6" ht="15.75" thickBot="1" x14ac:dyDescent="0.3">
      <c r="A394" s="54" t="s">
        <v>176</v>
      </c>
      <c r="B394" s="54" t="s">
        <v>185</v>
      </c>
      <c r="C394" s="55">
        <v>3</v>
      </c>
      <c r="D394" s="54" t="s">
        <v>233</v>
      </c>
      <c r="E394" s="53">
        <f t="shared" si="12"/>
        <v>0</v>
      </c>
      <c r="F394" s="53">
        <f t="shared" si="13"/>
        <v>74</v>
      </c>
    </row>
    <row r="395" spans="1:6" ht="15.75" thickBot="1" x14ac:dyDescent="0.3">
      <c r="A395" s="54" t="s">
        <v>176</v>
      </c>
      <c r="B395" s="54" t="s">
        <v>185</v>
      </c>
      <c r="C395" s="55">
        <v>4</v>
      </c>
      <c r="D395" s="54" t="s">
        <v>233</v>
      </c>
      <c r="E395" s="53">
        <f t="shared" si="12"/>
        <v>0</v>
      </c>
      <c r="F395" s="53">
        <f t="shared" si="13"/>
        <v>74</v>
      </c>
    </row>
    <row r="396" spans="1:6" ht="15.75" thickBot="1" x14ac:dyDescent="0.3">
      <c r="A396" s="54" t="s">
        <v>176</v>
      </c>
      <c r="B396" s="54" t="s">
        <v>185</v>
      </c>
      <c r="C396" s="55">
        <v>5</v>
      </c>
      <c r="D396" s="54" t="s">
        <v>233</v>
      </c>
      <c r="E396" s="53">
        <f t="shared" si="12"/>
        <v>0</v>
      </c>
      <c r="F396" s="53">
        <f t="shared" si="13"/>
        <v>74</v>
      </c>
    </row>
    <row r="397" spans="1:6" ht="15.75" thickBot="1" x14ac:dyDescent="0.3">
      <c r="A397" s="54" t="s">
        <v>176</v>
      </c>
      <c r="B397" s="54" t="s">
        <v>185</v>
      </c>
      <c r="C397" s="55">
        <v>6</v>
      </c>
      <c r="D397" s="54" t="s">
        <v>234</v>
      </c>
      <c r="E397" s="53">
        <f t="shared" si="12"/>
        <v>0</v>
      </c>
      <c r="F397" s="53">
        <f t="shared" si="13"/>
        <v>74</v>
      </c>
    </row>
    <row r="398" spans="1:6" ht="15.75" thickBot="1" x14ac:dyDescent="0.3">
      <c r="A398" s="54" t="s">
        <v>176</v>
      </c>
      <c r="B398" s="54" t="s">
        <v>185</v>
      </c>
      <c r="C398" s="55">
        <v>7</v>
      </c>
      <c r="D398" s="54" t="s">
        <v>234</v>
      </c>
      <c r="E398" s="53">
        <f t="shared" si="12"/>
        <v>0</v>
      </c>
      <c r="F398" s="53">
        <f t="shared" si="13"/>
        <v>74</v>
      </c>
    </row>
    <row r="399" spans="1:6" ht="15.75" thickBot="1" x14ac:dyDescent="0.3">
      <c r="A399" s="54" t="s">
        <v>176</v>
      </c>
      <c r="B399" s="54" t="s">
        <v>185</v>
      </c>
      <c r="C399" s="55">
        <v>8</v>
      </c>
      <c r="D399" s="54" t="s">
        <v>234</v>
      </c>
      <c r="E399" s="53">
        <f t="shared" si="12"/>
        <v>0</v>
      </c>
      <c r="F399" s="53">
        <f t="shared" si="13"/>
        <v>74</v>
      </c>
    </row>
    <row r="400" spans="1:6" ht="15.75" thickBot="1" x14ac:dyDescent="0.3">
      <c r="A400" s="54" t="s">
        <v>176</v>
      </c>
      <c r="B400" s="54" t="s">
        <v>185</v>
      </c>
      <c r="C400" s="55">
        <v>9</v>
      </c>
      <c r="D400" s="54" t="s">
        <v>234</v>
      </c>
      <c r="E400" s="53">
        <f t="shared" si="12"/>
        <v>0</v>
      </c>
      <c r="F400" s="53">
        <f t="shared" si="13"/>
        <v>74</v>
      </c>
    </row>
    <row r="401" spans="1:6" ht="15.75" thickBot="1" x14ac:dyDescent="0.3">
      <c r="A401" s="54" t="s">
        <v>176</v>
      </c>
      <c r="B401" s="54" t="s">
        <v>185</v>
      </c>
      <c r="C401" s="55">
        <v>10</v>
      </c>
      <c r="D401" s="54" t="s">
        <v>234</v>
      </c>
      <c r="E401" s="53">
        <f t="shared" si="12"/>
        <v>0</v>
      </c>
      <c r="F401" s="53">
        <f t="shared" si="13"/>
        <v>74</v>
      </c>
    </row>
    <row r="402" spans="1:6" ht="15.75" thickBot="1" x14ac:dyDescent="0.3">
      <c r="A402" s="54" t="s">
        <v>176</v>
      </c>
      <c r="B402" s="54" t="s">
        <v>186</v>
      </c>
      <c r="C402" s="55">
        <v>1</v>
      </c>
      <c r="D402" s="54" t="s">
        <v>262</v>
      </c>
      <c r="E402" s="53">
        <f t="shared" si="12"/>
        <v>0</v>
      </c>
      <c r="F402" s="53">
        <f t="shared" si="13"/>
        <v>74</v>
      </c>
    </row>
    <row r="403" spans="1:6" ht="15.75" thickBot="1" x14ac:dyDescent="0.3">
      <c r="A403" s="54" t="s">
        <v>176</v>
      </c>
      <c r="B403" s="54" t="s">
        <v>186</v>
      </c>
      <c r="C403" s="55">
        <v>2</v>
      </c>
      <c r="D403" s="54" t="s">
        <v>262</v>
      </c>
      <c r="E403" s="53">
        <f t="shared" si="12"/>
        <v>0</v>
      </c>
      <c r="F403" s="53">
        <f t="shared" si="13"/>
        <v>74</v>
      </c>
    </row>
    <row r="404" spans="1:6" ht="15.75" thickBot="1" x14ac:dyDescent="0.3">
      <c r="A404" s="54" t="s">
        <v>176</v>
      </c>
      <c r="B404" s="54" t="s">
        <v>186</v>
      </c>
      <c r="C404" s="55">
        <v>3</v>
      </c>
      <c r="D404" s="54" t="s">
        <v>262</v>
      </c>
      <c r="E404" s="53">
        <f t="shared" si="12"/>
        <v>0</v>
      </c>
      <c r="F404" s="53">
        <f t="shared" si="13"/>
        <v>74</v>
      </c>
    </row>
    <row r="405" spans="1:6" ht="15.75" thickBot="1" x14ac:dyDescent="0.3">
      <c r="A405" s="54" t="s">
        <v>176</v>
      </c>
      <c r="B405" s="54" t="s">
        <v>186</v>
      </c>
      <c r="C405" s="55">
        <v>4</v>
      </c>
      <c r="D405" s="54" t="s">
        <v>263</v>
      </c>
      <c r="E405" s="53">
        <f t="shared" si="12"/>
        <v>0</v>
      </c>
      <c r="F405" s="53">
        <f t="shared" si="13"/>
        <v>77</v>
      </c>
    </row>
    <row r="406" spans="1:6" ht="15.75" thickBot="1" x14ac:dyDescent="0.3">
      <c r="A406" s="54" t="s">
        <v>176</v>
      </c>
      <c r="B406" s="54" t="s">
        <v>186</v>
      </c>
      <c r="C406" s="55">
        <v>5</v>
      </c>
      <c r="D406" s="54" t="s">
        <v>263</v>
      </c>
      <c r="E406" s="53">
        <f t="shared" si="12"/>
        <v>0</v>
      </c>
      <c r="F406" s="53">
        <f t="shared" si="13"/>
        <v>77</v>
      </c>
    </row>
    <row r="407" spans="1:6" ht="15.75" thickBot="1" x14ac:dyDescent="0.3">
      <c r="A407" s="54" t="s">
        <v>176</v>
      </c>
      <c r="B407" s="54" t="s">
        <v>186</v>
      </c>
      <c r="C407" s="55">
        <v>6</v>
      </c>
      <c r="D407" s="54" t="s">
        <v>235</v>
      </c>
      <c r="E407" s="53">
        <f t="shared" si="12"/>
        <v>0</v>
      </c>
      <c r="F407" s="53">
        <f t="shared" si="13"/>
        <v>84</v>
      </c>
    </row>
    <row r="408" spans="1:6" ht="15.75" thickBot="1" x14ac:dyDescent="0.3">
      <c r="A408" s="54" t="s">
        <v>176</v>
      </c>
      <c r="B408" s="54" t="s">
        <v>186</v>
      </c>
      <c r="C408" s="55">
        <v>7</v>
      </c>
      <c r="D408" s="54" t="s">
        <v>235</v>
      </c>
      <c r="E408" s="53">
        <f t="shared" si="12"/>
        <v>0</v>
      </c>
      <c r="F408" s="53">
        <f t="shared" si="13"/>
        <v>84</v>
      </c>
    </row>
    <row r="409" spans="1:6" ht="15.75" thickBot="1" x14ac:dyDescent="0.3">
      <c r="A409" s="54" t="s">
        <v>176</v>
      </c>
      <c r="B409" s="54" t="s">
        <v>186</v>
      </c>
      <c r="C409" s="55">
        <v>8</v>
      </c>
      <c r="D409" s="54" t="s">
        <v>235</v>
      </c>
      <c r="E409" s="53">
        <f t="shared" si="12"/>
        <v>0</v>
      </c>
      <c r="F409" s="53">
        <f t="shared" si="13"/>
        <v>84</v>
      </c>
    </row>
    <row r="410" spans="1:6" ht="15.75" thickBot="1" x14ac:dyDescent="0.3">
      <c r="A410" s="54" t="s">
        <v>176</v>
      </c>
      <c r="B410" s="54" t="s">
        <v>186</v>
      </c>
      <c r="C410" s="55">
        <v>9</v>
      </c>
      <c r="D410" s="54" t="s">
        <v>235</v>
      </c>
      <c r="E410" s="53">
        <f t="shared" si="12"/>
        <v>0</v>
      </c>
      <c r="F410" s="53">
        <f t="shared" si="13"/>
        <v>84</v>
      </c>
    </row>
    <row r="411" spans="1:6" ht="15.75" thickBot="1" x14ac:dyDescent="0.3">
      <c r="A411" s="54" t="s">
        <v>176</v>
      </c>
      <c r="B411" s="54" t="s">
        <v>186</v>
      </c>
      <c r="C411" s="55">
        <v>10</v>
      </c>
      <c r="D411" s="54" t="s">
        <v>235</v>
      </c>
      <c r="E411" s="53">
        <f t="shared" si="12"/>
        <v>0</v>
      </c>
      <c r="F411" s="53">
        <f t="shared" si="13"/>
        <v>84</v>
      </c>
    </row>
    <row r="412" spans="1:6" ht="15.75" thickBot="1" x14ac:dyDescent="0.3">
      <c r="A412" s="54" t="s">
        <v>176</v>
      </c>
      <c r="B412" s="54" t="s">
        <v>187</v>
      </c>
      <c r="C412" s="55">
        <v>1</v>
      </c>
      <c r="D412" s="54" t="s">
        <v>264</v>
      </c>
      <c r="E412" s="53">
        <f t="shared" si="12"/>
        <v>0</v>
      </c>
      <c r="F412" s="53">
        <f t="shared" si="13"/>
        <v>83</v>
      </c>
    </row>
    <row r="413" spans="1:6" ht="15.75" thickBot="1" x14ac:dyDescent="0.3">
      <c r="A413" s="54" t="s">
        <v>176</v>
      </c>
      <c r="B413" s="54" t="s">
        <v>187</v>
      </c>
      <c r="C413" s="55">
        <v>2</v>
      </c>
      <c r="D413" s="54" t="s">
        <v>264</v>
      </c>
      <c r="E413" s="53">
        <f t="shared" si="12"/>
        <v>0</v>
      </c>
      <c r="F413" s="53">
        <f t="shared" si="13"/>
        <v>83</v>
      </c>
    </row>
    <row r="414" spans="1:6" ht="15.75" thickBot="1" x14ac:dyDescent="0.3">
      <c r="A414" s="54" t="s">
        <v>176</v>
      </c>
      <c r="B414" s="54" t="s">
        <v>187</v>
      </c>
      <c r="C414" s="55">
        <v>3</v>
      </c>
      <c r="D414" s="54" t="s">
        <v>265</v>
      </c>
      <c r="E414" s="53">
        <f t="shared" si="12"/>
        <v>0</v>
      </c>
      <c r="F414" s="53">
        <f t="shared" si="13"/>
        <v>72</v>
      </c>
    </row>
    <row r="415" spans="1:6" ht="15.75" thickBot="1" x14ac:dyDescent="0.3">
      <c r="A415" s="54" t="s">
        <v>176</v>
      </c>
      <c r="B415" s="54" t="s">
        <v>187</v>
      </c>
      <c r="C415" s="55">
        <v>4</v>
      </c>
      <c r="D415" s="54" t="s">
        <v>265</v>
      </c>
      <c r="E415" s="53">
        <f t="shared" si="12"/>
        <v>0</v>
      </c>
      <c r="F415" s="53">
        <f t="shared" si="13"/>
        <v>72</v>
      </c>
    </row>
    <row r="416" spans="1:6" ht="15.75" thickBot="1" x14ac:dyDescent="0.3">
      <c r="A416" s="54" t="s">
        <v>176</v>
      </c>
      <c r="B416" s="54" t="s">
        <v>187</v>
      </c>
      <c r="C416" s="55">
        <v>5</v>
      </c>
      <c r="D416" s="54" t="s">
        <v>265</v>
      </c>
      <c r="E416" s="53">
        <f t="shared" si="12"/>
        <v>0</v>
      </c>
      <c r="F416" s="53">
        <f t="shared" si="13"/>
        <v>72</v>
      </c>
    </row>
    <row r="417" spans="1:6" ht="15.75" thickBot="1" x14ac:dyDescent="0.3">
      <c r="A417" s="54" t="s">
        <v>176</v>
      </c>
      <c r="B417" s="54" t="s">
        <v>187</v>
      </c>
      <c r="C417" s="55">
        <v>6</v>
      </c>
      <c r="D417" s="54" t="s">
        <v>236</v>
      </c>
      <c r="E417" s="53">
        <f t="shared" si="12"/>
        <v>0</v>
      </c>
      <c r="F417" s="53">
        <f t="shared" si="13"/>
        <v>90</v>
      </c>
    </row>
    <row r="418" spans="1:6" ht="15.75" thickBot="1" x14ac:dyDescent="0.3">
      <c r="A418" s="54" t="s">
        <v>176</v>
      </c>
      <c r="B418" s="54" t="s">
        <v>187</v>
      </c>
      <c r="C418" s="55">
        <v>7</v>
      </c>
      <c r="D418" s="54" t="s">
        <v>266</v>
      </c>
      <c r="E418" s="53">
        <f t="shared" si="12"/>
        <v>0</v>
      </c>
      <c r="F418" s="53">
        <f t="shared" si="13"/>
        <v>98</v>
      </c>
    </row>
    <row r="419" spans="1:6" ht="15.75" thickBot="1" x14ac:dyDescent="0.3">
      <c r="A419" s="54" t="s">
        <v>176</v>
      </c>
      <c r="B419" s="54" t="s">
        <v>187</v>
      </c>
      <c r="C419" s="55">
        <v>8</v>
      </c>
      <c r="D419" s="54" t="s">
        <v>266</v>
      </c>
      <c r="E419" s="53">
        <f t="shared" si="12"/>
        <v>0</v>
      </c>
      <c r="F419" s="53">
        <f t="shared" si="13"/>
        <v>98</v>
      </c>
    </row>
    <row r="420" spans="1:6" ht="15.75" thickBot="1" x14ac:dyDescent="0.3">
      <c r="A420" s="54" t="s">
        <v>176</v>
      </c>
      <c r="B420" s="54" t="s">
        <v>187</v>
      </c>
      <c r="C420" s="55">
        <v>9</v>
      </c>
      <c r="D420" s="54" t="s">
        <v>266</v>
      </c>
      <c r="E420" s="53">
        <f t="shared" si="12"/>
        <v>0</v>
      </c>
      <c r="F420" s="53">
        <f t="shared" si="13"/>
        <v>98</v>
      </c>
    </row>
    <row r="421" spans="1:6" ht="15.75" thickBot="1" x14ac:dyDescent="0.3">
      <c r="A421" s="54" t="s">
        <v>176</v>
      </c>
      <c r="B421" s="54" t="s">
        <v>187</v>
      </c>
      <c r="C421" s="55">
        <v>10</v>
      </c>
      <c r="D421" s="54" t="s">
        <v>266</v>
      </c>
      <c r="E421" s="53">
        <f t="shared" si="12"/>
        <v>0</v>
      </c>
      <c r="F421" s="53">
        <f t="shared" si="13"/>
        <v>98</v>
      </c>
    </row>
    <row r="422" spans="1:6" ht="15.75" thickBot="1" x14ac:dyDescent="0.3">
      <c r="A422" s="54" t="s">
        <v>176</v>
      </c>
      <c r="B422" s="54" t="s">
        <v>188</v>
      </c>
      <c r="C422" s="55">
        <v>1</v>
      </c>
      <c r="D422" s="54" t="s">
        <v>237</v>
      </c>
      <c r="E422" s="53">
        <f t="shared" si="12"/>
        <v>0</v>
      </c>
      <c r="F422" s="53">
        <f t="shared" si="13"/>
        <v>56</v>
      </c>
    </row>
    <row r="423" spans="1:6" ht="15.75" thickBot="1" x14ac:dyDescent="0.3">
      <c r="A423" s="54" t="s">
        <v>176</v>
      </c>
      <c r="B423" s="54" t="s">
        <v>188</v>
      </c>
      <c r="C423" s="55">
        <v>2</v>
      </c>
      <c r="D423" s="54" t="s">
        <v>237</v>
      </c>
      <c r="E423" s="53">
        <f t="shared" si="12"/>
        <v>0</v>
      </c>
      <c r="F423" s="53">
        <f t="shared" si="13"/>
        <v>56</v>
      </c>
    </row>
    <row r="424" spans="1:6" ht="15.75" thickBot="1" x14ac:dyDescent="0.3">
      <c r="A424" s="54" t="s">
        <v>176</v>
      </c>
      <c r="B424" s="54" t="s">
        <v>188</v>
      </c>
      <c r="C424" s="55">
        <v>3</v>
      </c>
      <c r="D424" s="54" t="s">
        <v>238</v>
      </c>
      <c r="E424" s="53">
        <f t="shared" si="12"/>
        <v>0</v>
      </c>
      <c r="F424" s="53">
        <f t="shared" si="13"/>
        <v>97</v>
      </c>
    </row>
    <row r="425" spans="1:6" ht="15.75" thickBot="1" x14ac:dyDescent="0.3">
      <c r="A425" s="54" t="s">
        <v>176</v>
      </c>
      <c r="B425" s="54" t="s">
        <v>188</v>
      </c>
      <c r="C425" s="55">
        <v>4</v>
      </c>
      <c r="D425" s="54" t="s">
        <v>238</v>
      </c>
      <c r="E425" s="53">
        <f t="shared" si="12"/>
        <v>0</v>
      </c>
      <c r="F425" s="53">
        <f t="shared" si="13"/>
        <v>97</v>
      </c>
    </row>
    <row r="426" spans="1:6" ht="15.75" thickBot="1" x14ac:dyDescent="0.3">
      <c r="A426" s="54" t="s">
        <v>176</v>
      </c>
      <c r="B426" s="54" t="s">
        <v>188</v>
      </c>
      <c r="C426" s="55">
        <v>5</v>
      </c>
      <c r="D426" s="54" t="s">
        <v>238</v>
      </c>
      <c r="E426" s="53">
        <f t="shared" si="12"/>
        <v>0</v>
      </c>
      <c r="F426" s="53">
        <f t="shared" si="13"/>
        <v>97</v>
      </c>
    </row>
    <row r="427" spans="1:6" ht="15.75" thickBot="1" x14ac:dyDescent="0.3">
      <c r="A427" s="54" t="s">
        <v>176</v>
      </c>
      <c r="B427" s="54" t="s">
        <v>188</v>
      </c>
      <c r="C427" s="55">
        <v>6</v>
      </c>
      <c r="D427" s="54" t="s">
        <v>239</v>
      </c>
      <c r="E427" s="53">
        <f t="shared" si="12"/>
        <v>0</v>
      </c>
      <c r="F427" s="53">
        <f t="shared" si="13"/>
        <v>92</v>
      </c>
    </row>
    <row r="428" spans="1:6" ht="15.75" thickBot="1" x14ac:dyDescent="0.3">
      <c r="A428" s="54" t="s">
        <v>176</v>
      </c>
      <c r="B428" s="54" t="s">
        <v>188</v>
      </c>
      <c r="C428" s="55">
        <v>7</v>
      </c>
      <c r="D428" s="54" t="s">
        <v>239</v>
      </c>
      <c r="E428" s="53">
        <f t="shared" si="12"/>
        <v>0</v>
      </c>
      <c r="F428" s="53">
        <f t="shared" si="13"/>
        <v>92</v>
      </c>
    </row>
    <row r="429" spans="1:6" ht="15.75" thickBot="1" x14ac:dyDescent="0.3">
      <c r="A429" s="54" t="s">
        <v>176</v>
      </c>
      <c r="B429" s="54" t="s">
        <v>188</v>
      </c>
      <c r="C429" s="55">
        <v>8</v>
      </c>
      <c r="D429" s="54" t="s">
        <v>239</v>
      </c>
      <c r="E429" s="53">
        <f t="shared" si="12"/>
        <v>0</v>
      </c>
      <c r="F429" s="53">
        <f t="shared" si="13"/>
        <v>92</v>
      </c>
    </row>
    <row r="430" spans="1:6" ht="15.75" thickBot="1" x14ac:dyDescent="0.3">
      <c r="A430" s="54" t="s">
        <v>176</v>
      </c>
      <c r="B430" s="54" t="s">
        <v>188</v>
      </c>
      <c r="C430" s="55">
        <v>9</v>
      </c>
      <c r="D430" s="54" t="s">
        <v>239</v>
      </c>
      <c r="E430" s="53">
        <f t="shared" si="12"/>
        <v>0</v>
      </c>
      <c r="F430" s="53">
        <f t="shared" si="13"/>
        <v>92</v>
      </c>
    </row>
    <row r="431" spans="1:6" ht="15.75" thickBot="1" x14ac:dyDescent="0.3">
      <c r="A431" s="54" t="s">
        <v>176</v>
      </c>
      <c r="B431" s="54" t="s">
        <v>188</v>
      </c>
      <c r="C431" s="55">
        <v>10</v>
      </c>
      <c r="D431" s="54" t="s">
        <v>239</v>
      </c>
      <c r="E431" s="53">
        <f t="shared" si="12"/>
        <v>0</v>
      </c>
      <c r="F431" s="53">
        <f t="shared" si="13"/>
        <v>92</v>
      </c>
    </row>
    <row r="432" spans="1:6" ht="23.25" thickBot="1" x14ac:dyDescent="0.3">
      <c r="A432" s="54" t="s">
        <v>189</v>
      </c>
      <c r="B432" s="54" t="s">
        <v>190</v>
      </c>
      <c r="C432" s="55">
        <v>1</v>
      </c>
      <c r="D432" s="54" t="s">
        <v>803</v>
      </c>
      <c r="E432" s="53">
        <f t="shared" si="12"/>
        <v>0</v>
      </c>
      <c r="F432" s="53">
        <f t="shared" si="13"/>
        <v>99</v>
      </c>
    </row>
    <row r="433" spans="1:6" ht="23.25" thickBot="1" x14ac:dyDescent="0.3">
      <c r="A433" s="54" t="s">
        <v>189</v>
      </c>
      <c r="B433" s="54" t="s">
        <v>190</v>
      </c>
      <c r="C433" s="55">
        <v>2</v>
      </c>
      <c r="D433" s="54" t="s">
        <v>839</v>
      </c>
      <c r="E433" s="53">
        <f t="shared" si="12"/>
        <v>0</v>
      </c>
      <c r="F433" s="53">
        <f t="shared" si="13"/>
        <v>99</v>
      </c>
    </row>
    <row r="434" spans="1:6" ht="23.25" thickBot="1" x14ac:dyDescent="0.3">
      <c r="A434" s="54" t="s">
        <v>189</v>
      </c>
      <c r="B434" s="54" t="s">
        <v>190</v>
      </c>
      <c r="C434" s="55">
        <v>3</v>
      </c>
      <c r="D434" s="54" t="s">
        <v>839</v>
      </c>
      <c r="E434" s="53">
        <f t="shared" si="12"/>
        <v>0</v>
      </c>
      <c r="F434" s="53">
        <f t="shared" si="13"/>
        <v>99</v>
      </c>
    </row>
    <row r="435" spans="1:6" ht="23.25" thickBot="1" x14ac:dyDescent="0.3">
      <c r="A435" s="54" t="s">
        <v>189</v>
      </c>
      <c r="B435" s="54" t="s">
        <v>190</v>
      </c>
      <c r="C435" s="55">
        <v>4</v>
      </c>
      <c r="D435" s="54" t="s">
        <v>839</v>
      </c>
      <c r="E435" s="53">
        <f t="shared" si="12"/>
        <v>0</v>
      </c>
      <c r="F435" s="53">
        <f t="shared" si="13"/>
        <v>99</v>
      </c>
    </row>
    <row r="436" spans="1:6" ht="23.25" thickBot="1" x14ac:dyDescent="0.3">
      <c r="A436" s="54" t="s">
        <v>189</v>
      </c>
      <c r="B436" s="54" t="s">
        <v>190</v>
      </c>
      <c r="C436" s="55">
        <v>5</v>
      </c>
      <c r="D436" s="54" t="s">
        <v>839</v>
      </c>
      <c r="E436" s="53">
        <f t="shared" si="12"/>
        <v>0</v>
      </c>
      <c r="F436" s="53">
        <f t="shared" si="13"/>
        <v>99</v>
      </c>
    </row>
    <row r="437" spans="1:6" ht="23.25" thickBot="1" x14ac:dyDescent="0.3">
      <c r="A437" s="54" t="s">
        <v>189</v>
      </c>
      <c r="B437" s="54" t="s">
        <v>190</v>
      </c>
      <c r="C437" s="55">
        <v>6</v>
      </c>
      <c r="D437" s="54" t="s">
        <v>840</v>
      </c>
      <c r="E437" s="53">
        <f t="shared" si="12"/>
        <v>0</v>
      </c>
      <c r="F437" s="53">
        <f t="shared" si="13"/>
        <v>98</v>
      </c>
    </row>
    <row r="438" spans="1:6" ht="23.25" thickBot="1" x14ac:dyDescent="0.3">
      <c r="A438" s="54" t="s">
        <v>189</v>
      </c>
      <c r="B438" s="54" t="s">
        <v>190</v>
      </c>
      <c r="C438" s="55">
        <v>7</v>
      </c>
      <c r="D438" s="54" t="s">
        <v>840</v>
      </c>
      <c r="E438" s="53">
        <f t="shared" si="12"/>
        <v>0</v>
      </c>
      <c r="F438" s="53">
        <f t="shared" si="13"/>
        <v>98</v>
      </c>
    </row>
    <row r="439" spans="1:6" ht="23.25" thickBot="1" x14ac:dyDescent="0.3">
      <c r="A439" s="54" t="s">
        <v>189</v>
      </c>
      <c r="B439" s="54" t="s">
        <v>190</v>
      </c>
      <c r="C439" s="55">
        <v>8</v>
      </c>
      <c r="D439" s="54" t="s">
        <v>840</v>
      </c>
      <c r="E439" s="53">
        <f t="shared" si="12"/>
        <v>0</v>
      </c>
      <c r="F439" s="53">
        <f t="shared" si="13"/>
        <v>98</v>
      </c>
    </row>
    <row r="440" spans="1:6" ht="23.25" thickBot="1" x14ac:dyDescent="0.3">
      <c r="A440" s="54" t="s">
        <v>189</v>
      </c>
      <c r="B440" s="54" t="s">
        <v>190</v>
      </c>
      <c r="C440" s="55">
        <v>9</v>
      </c>
      <c r="D440" s="54" t="s">
        <v>840</v>
      </c>
      <c r="E440" s="53">
        <f>IF(LEN(D440)&lt;170,0,1)</f>
        <v>0</v>
      </c>
      <c r="F440" s="53">
        <f>LEN(D440)</f>
        <v>98</v>
      </c>
    </row>
    <row r="441" spans="1:6" ht="23.25" thickBot="1" x14ac:dyDescent="0.3">
      <c r="A441" s="54" t="s">
        <v>189</v>
      </c>
      <c r="B441" s="54" t="s">
        <v>190</v>
      </c>
      <c r="C441" s="55">
        <v>10</v>
      </c>
      <c r="D441" s="54" t="s">
        <v>840</v>
      </c>
      <c r="E441" s="53">
        <f>IF(LEN(D441)&lt;170,0,1)</f>
        <v>0</v>
      </c>
      <c r="F441" s="53">
        <f>LEN(D441)</f>
        <v>98</v>
      </c>
    </row>
    <row r="442" spans="1:6" ht="15.75" thickBot="1" x14ac:dyDescent="0.3">
      <c r="A442" s="54" t="s">
        <v>189</v>
      </c>
      <c r="B442" s="54" t="s">
        <v>191</v>
      </c>
      <c r="C442" s="55">
        <v>1</v>
      </c>
      <c r="D442" s="54" t="s">
        <v>240</v>
      </c>
      <c r="E442" s="53">
        <f t="shared" si="12"/>
        <v>0</v>
      </c>
      <c r="F442" s="53">
        <f t="shared" si="13"/>
        <v>84</v>
      </c>
    </row>
    <row r="443" spans="1:6" ht="15.75" thickBot="1" x14ac:dyDescent="0.3">
      <c r="A443" s="54" t="s">
        <v>189</v>
      </c>
      <c r="B443" s="54" t="s">
        <v>191</v>
      </c>
      <c r="C443" s="55">
        <v>2</v>
      </c>
      <c r="D443" s="54" t="s">
        <v>240</v>
      </c>
      <c r="E443" s="53">
        <f t="shared" si="12"/>
        <v>0</v>
      </c>
      <c r="F443" s="53">
        <f t="shared" si="13"/>
        <v>84</v>
      </c>
    </row>
    <row r="444" spans="1:6" ht="15.75" thickBot="1" x14ac:dyDescent="0.3">
      <c r="A444" s="54" t="s">
        <v>189</v>
      </c>
      <c r="B444" s="54" t="s">
        <v>191</v>
      </c>
      <c r="C444" s="55">
        <v>3</v>
      </c>
      <c r="D444" s="54" t="s">
        <v>240</v>
      </c>
      <c r="E444" s="53">
        <f t="shared" si="12"/>
        <v>0</v>
      </c>
      <c r="F444" s="53">
        <f t="shared" si="13"/>
        <v>84</v>
      </c>
    </row>
    <row r="445" spans="1:6" ht="15.75" thickBot="1" x14ac:dyDescent="0.3">
      <c r="A445" s="54" t="s">
        <v>189</v>
      </c>
      <c r="B445" s="54" t="s">
        <v>191</v>
      </c>
      <c r="C445" s="55">
        <v>4</v>
      </c>
      <c r="D445" s="54" t="s">
        <v>240</v>
      </c>
      <c r="E445" s="53">
        <f t="shared" si="12"/>
        <v>0</v>
      </c>
      <c r="F445" s="53">
        <f t="shared" si="13"/>
        <v>84</v>
      </c>
    </row>
    <row r="446" spans="1:6" ht="15.75" thickBot="1" x14ac:dyDescent="0.3">
      <c r="A446" s="54" t="s">
        <v>189</v>
      </c>
      <c r="B446" s="54" t="s">
        <v>191</v>
      </c>
      <c r="C446" s="55">
        <v>5</v>
      </c>
      <c r="D446" s="54" t="s">
        <v>240</v>
      </c>
      <c r="E446" s="53">
        <f t="shared" si="12"/>
        <v>0</v>
      </c>
      <c r="F446" s="53">
        <f t="shared" si="13"/>
        <v>84</v>
      </c>
    </row>
    <row r="447" spans="1:6" ht="15.75" thickBot="1" x14ac:dyDescent="0.3">
      <c r="A447" s="54" t="s">
        <v>189</v>
      </c>
      <c r="B447" s="54" t="s">
        <v>191</v>
      </c>
      <c r="C447" s="55">
        <v>6</v>
      </c>
      <c r="D447" s="54" t="s">
        <v>199</v>
      </c>
      <c r="E447" s="53">
        <f t="shared" si="12"/>
        <v>0</v>
      </c>
      <c r="F447" s="53">
        <f t="shared" si="13"/>
        <v>93</v>
      </c>
    </row>
    <row r="448" spans="1:6" ht="15.75" thickBot="1" x14ac:dyDescent="0.3">
      <c r="A448" s="54" t="s">
        <v>189</v>
      </c>
      <c r="B448" s="54" t="s">
        <v>191</v>
      </c>
      <c r="C448" s="55">
        <v>7</v>
      </c>
      <c r="D448" s="54" t="s">
        <v>199</v>
      </c>
      <c r="E448" s="53">
        <f t="shared" si="12"/>
        <v>0</v>
      </c>
      <c r="F448" s="53">
        <f t="shared" si="13"/>
        <v>93</v>
      </c>
    </row>
    <row r="449" spans="1:6" ht="15.75" thickBot="1" x14ac:dyDescent="0.3">
      <c r="A449" s="54" t="s">
        <v>189</v>
      </c>
      <c r="B449" s="54" t="s">
        <v>191</v>
      </c>
      <c r="C449" s="55">
        <v>8</v>
      </c>
      <c r="D449" s="54" t="s">
        <v>199</v>
      </c>
      <c r="E449" s="53">
        <f t="shared" si="12"/>
        <v>0</v>
      </c>
      <c r="F449" s="53">
        <f t="shared" si="13"/>
        <v>93</v>
      </c>
    </row>
    <row r="450" spans="1:6" ht="15.75" thickBot="1" x14ac:dyDescent="0.3">
      <c r="A450" s="54" t="s">
        <v>189</v>
      </c>
      <c r="B450" s="54" t="s">
        <v>191</v>
      </c>
      <c r="C450" s="55">
        <v>9</v>
      </c>
      <c r="D450" s="54" t="s">
        <v>199</v>
      </c>
      <c r="E450" s="53">
        <f t="shared" si="12"/>
        <v>0</v>
      </c>
      <c r="F450" s="53">
        <f t="shared" si="13"/>
        <v>93</v>
      </c>
    </row>
    <row r="451" spans="1:6" ht="15.75" thickBot="1" x14ac:dyDescent="0.3">
      <c r="A451" s="54" t="s">
        <v>189</v>
      </c>
      <c r="B451" s="54" t="s">
        <v>191</v>
      </c>
      <c r="C451" s="55">
        <v>10</v>
      </c>
      <c r="D451" s="54" t="s">
        <v>199</v>
      </c>
      <c r="E451" s="53">
        <f t="shared" ref="E451:E514" si="14">IF(LEN(D451)&lt;170,0,1)</f>
        <v>0</v>
      </c>
      <c r="F451" s="53">
        <f t="shared" ref="F451:F514" si="15">LEN(D451)</f>
        <v>93</v>
      </c>
    </row>
    <row r="452" spans="1:6" ht="23.25" thickBot="1" x14ac:dyDescent="0.3">
      <c r="A452" s="54" t="s">
        <v>189</v>
      </c>
      <c r="B452" s="54" t="s">
        <v>16</v>
      </c>
      <c r="C452" s="55">
        <v>1</v>
      </c>
      <c r="D452" s="54" t="s">
        <v>267</v>
      </c>
      <c r="E452" s="53">
        <f t="shared" si="14"/>
        <v>0</v>
      </c>
      <c r="F452" s="53">
        <f t="shared" si="15"/>
        <v>123</v>
      </c>
    </row>
    <row r="453" spans="1:6" ht="23.25" thickBot="1" x14ac:dyDescent="0.3">
      <c r="A453" s="54" t="s">
        <v>189</v>
      </c>
      <c r="B453" s="54" t="s">
        <v>16</v>
      </c>
      <c r="C453" s="55">
        <v>2</v>
      </c>
      <c r="D453" s="54" t="s">
        <v>267</v>
      </c>
      <c r="E453" s="53">
        <f t="shared" si="14"/>
        <v>0</v>
      </c>
      <c r="F453" s="53">
        <f t="shared" si="15"/>
        <v>123</v>
      </c>
    </row>
    <row r="454" spans="1:6" ht="23.25" thickBot="1" x14ac:dyDescent="0.3">
      <c r="A454" s="54" t="s">
        <v>189</v>
      </c>
      <c r="B454" s="54" t="s">
        <v>16</v>
      </c>
      <c r="C454" s="55">
        <v>3</v>
      </c>
      <c r="D454" s="54" t="s">
        <v>267</v>
      </c>
      <c r="E454" s="53">
        <f t="shared" si="14"/>
        <v>0</v>
      </c>
      <c r="F454" s="53">
        <f t="shared" si="15"/>
        <v>123</v>
      </c>
    </row>
    <row r="455" spans="1:6" ht="23.25" thickBot="1" x14ac:dyDescent="0.3">
      <c r="A455" s="54" t="s">
        <v>189</v>
      </c>
      <c r="B455" s="54" t="s">
        <v>16</v>
      </c>
      <c r="C455" s="55">
        <v>4</v>
      </c>
      <c r="D455" s="54" t="s">
        <v>267</v>
      </c>
      <c r="E455" s="53">
        <f t="shared" si="14"/>
        <v>0</v>
      </c>
      <c r="F455" s="53">
        <f t="shared" si="15"/>
        <v>123</v>
      </c>
    </row>
    <row r="456" spans="1:6" ht="23.25" thickBot="1" x14ac:dyDescent="0.3">
      <c r="A456" s="54" t="s">
        <v>189</v>
      </c>
      <c r="B456" s="54" t="s">
        <v>16</v>
      </c>
      <c r="C456" s="55">
        <v>5</v>
      </c>
      <c r="D456" s="54" t="s">
        <v>267</v>
      </c>
      <c r="E456" s="53">
        <f t="shared" si="14"/>
        <v>0</v>
      </c>
      <c r="F456" s="53">
        <f t="shared" si="15"/>
        <v>123</v>
      </c>
    </row>
    <row r="457" spans="1:6" ht="23.25" thickBot="1" x14ac:dyDescent="0.3">
      <c r="A457" s="54" t="s">
        <v>189</v>
      </c>
      <c r="B457" s="54" t="s">
        <v>16</v>
      </c>
      <c r="C457" s="55">
        <v>6</v>
      </c>
      <c r="D457" s="54" t="s">
        <v>804</v>
      </c>
      <c r="E457" s="53">
        <f t="shared" si="14"/>
        <v>0</v>
      </c>
      <c r="F457" s="53">
        <f t="shared" si="15"/>
        <v>139</v>
      </c>
    </row>
    <row r="458" spans="1:6" ht="23.25" thickBot="1" x14ac:dyDescent="0.3">
      <c r="A458" s="54" t="s">
        <v>189</v>
      </c>
      <c r="B458" s="54" t="s">
        <v>16</v>
      </c>
      <c r="C458" s="55">
        <v>7</v>
      </c>
      <c r="D458" s="54" t="s">
        <v>804</v>
      </c>
      <c r="E458" s="53">
        <f t="shared" si="14"/>
        <v>0</v>
      </c>
      <c r="F458" s="53">
        <f t="shared" si="15"/>
        <v>139</v>
      </c>
    </row>
    <row r="459" spans="1:6" ht="23.25" thickBot="1" x14ac:dyDescent="0.3">
      <c r="A459" s="54" t="s">
        <v>189</v>
      </c>
      <c r="B459" s="54" t="s">
        <v>16</v>
      </c>
      <c r="C459" s="55">
        <v>8</v>
      </c>
      <c r="D459" s="54" t="s">
        <v>268</v>
      </c>
      <c r="E459" s="53">
        <f t="shared" si="14"/>
        <v>0</v>
      </c>
      <c r="F459" s="53">
        <f t="shared" si="15"/>
        <v>117</v>
      </c>
    </row>
    <row r="460" spans="1:6" ht="23.25" thickBot="1" x14ac:dyDescent="0.3">
      <c r="A460" s="54" t="s">
        <v>189</v>
      </c>
      <c r="B460" s="54" t="s">
        <v>16</v>
      </c>
      <c r="C460" s="55">
        <v>9</v>
      </c>
      <c r="D460" s="54" t="s">
        <v>804</v>
      </c>
      <c r="E460" s="53">
        <f t="shared" si="14"/>
        <v>0</v>
      </c>
      <c r="F460" s="53">
        <f t="shared" si="15"/>
        <v>139</v>
      </c>
    </row>
    <row r="461" spans="1:6" ht="23.25" thickBot="1" x14ac:dyDescent="0.3">
      <c r="A461" s="54" t="s">
        <v>189</v>
      </c>
      <c r="B461" s="54" t="s">
        <v>16</v>
      </c>
      <c r="C461" s="55">
        <v>10</v>
      </c>
      <c r="D461" s="54" t="s">
        <v>804</v>
      </c>
      <c r="E461" s="53">
        <f t="shared" si="14"/>
        <v>0</v>
      </c>
      <c r="F461" s="53">
        <f t="shared" si="15"/>
        <v>139</v>
      </c>
    </row>
    <row r="462" spans="1:6" ht="23.25" thickBot="1" x14ac:dyDescent="0.3">
      <c r="A462" s="54" t="s">
        <v>189</v>
      </c>
      <c r="B462" s="54" t="s">
        <v>192</v>
      </c>
      <c r="C462" s="55">
        <v>1</v>
      </c>
      <c r="D462" s="54" t="s">
        <v>805</v>
      </c>
      <c r="E462" s="53">
        <f t="shared" si="14"/>
        <v>0</v>
      </c>
      <c r="F462" s="53">
        <f t="shared" si="15"/>
        <v>134</v>
      </c>
    </row>
    <row r="463" spans="1:6" ht="23.25" thickBot="1" x14ac:dyDescent="0.3">
      <c r="A463" s="54" t="s">
        <v>189</v>
      </c>
      <c r="B463" s="54" t="s">
        <v>192</v>
      </c>
      <c r="C463" s="55">
        <v>2</v>
      </c>
      <c r="D463" s="54" t="s">
        <v>805</v>
      </c>
      <c r="E463" s="53">
        <f t="shared" si="14"/>
        <v>0</v>
      </c>
      <c r="F463" s="53">
        <f t="shared" si="15"/>
        <v>134</v>
      </c>
    </row>
    <row r="464" spans="1:6" ht="23.25" thickBot="1" x14ac:dyDescent="0.3">
      <c r="A464" s="54" t="s">
        <v>189</v>
      </c>
      <c r="B464" s="54" t="s">
        <v>192</v>
      </c>
      <c r="C464" s="55">
        <v>3</v>
      </c>
      <c r="D464" s="54" t="s">
        <v>805</v>
      </c>
      <c r="E464" s="53">
        <f t="shared" si="14"/>
        <v>0</v>
      </c>
      <c r="F464" s="53">
        <f t="shared" si="15"/>
        <v>134</v>
      </c>
    </row>
    <row r="465" spans="1:6" ht="23.25" thickBot="1" x14ac:dyDescent="0.3">
      <c r="A465" s="54" t="s">
        <v>189</v>
      </c>
      <c r="B465" s="54" t="s">
        <v>192</v>
      </c>
      <c r="C465" s="55">
        <v>4</v>
      </c>
      <c r="D465" s="54" t="s">
        <v>805</v>
      </c>
      <c r="E465" s="53">
        <f t="shared" si="14"/>
        <v>0</v>
      </c>
      <c r="F465" s="53">
        <f t="shared" si="15"/>
        <v>134</v>
      </c>
    </row>
    <row r="466" spans="1:6" ht="23.25" thickBot="1" x14ac:dyDescent="0.3">
      <c r="A466" s="54" t="s">
        <v>189</v>
      </c>
      <c r="B466" s="54" t="s">
        <v>192</v>
      </c>
      <c r="C466" s="55">
        <v>5</v>
      </c>
      <c r="D466" s="54" t="s">
        <v>808</v>
      </c>
      <c r="E466" s="53">
        <f t="shared" si="14"/>
        <v>0</v>
      </c>
      <c r="F466" s="53">
        <f t="shared" si="15"/>
        <v>124</v>
      </c>
    </row>
    <row r="467" spans="1:6" ht="23.25" thickBot="1" x14ac:dyDescent="0.3">
      <c r="A467" s="54" t="s">
        <v>189</v>
      </c>
      <c r="B467" s="54" t="s">
        <v>192</v>
      </c>
      <c r="C467" s="55">
        <v>6</v>
      </c>
      <c r="D467" s="54" t="s">
        <v>808</v>
      </c>
      <c r="E467" s="53">
        <f t="shared" si="14"/>
        <v>0</v>
      </c>
      <c r="F467" s="53">
        <f t="shared" si="15"/>
        <v>124</v>
      </c>
    </row>
    <row r="468" spans="1:6" ht="23.25" thickBot="1" x14ac:dyDescent="0.3">
      <c r="A468" s="54" t="s">
        <v>189</v>
      </c>
      <c r="B468" s="54" t="s">
        <v>192</v>
      </c>
      <c r="C468" s="55">
        <v>7</v>
      </c>
      <c r="D468" s="54" t="s">
        <v>807</v>
      </c>
      <c r="E468" s="53">
        <f t="shared" si="14"/>
        <v>0</v>
      </c>
      <c r="F468" s="53">
        <f t="shared" si="15"/>
        <v>121</v>
      </c>
    </row>
    <row r="469" spans="1:6" ht="34.5" thickBot="1" x14ac:dyDescent="0.3">
      <c r="A469" s="54" t="s">
        <v>189</v>
      </c>
      <c r="B469" s="54" t="s">
        <v>192</v>
      </c>
      <c r="C469" s="55">
        <v>8</v>
      </c>
      <c r="D469" s="54" t="s">
        <v>806</v>
      </c>
      <c r="E469" s="53">
        <f t="shared" si="14"/>
        <v>0</v>
      </c>
      <c r="F469" s="53">
        <f t="shared" si="15"/>
        <v>138</v>
      </c>
    </row>
    <row r="470" spans="1:6" ht="34.5" thickBot="1" x14ac:dyDescent="0.3">
      <c r="A470" s="54" t="s">
        <v>189</v>
      </c>
      <c r="B470" s="54" t="s">
        <v>192</v>
      </c>
      <c r="C470" s="55">
        <v>9</v>
      </c>
      <c r="D470" s="54" t="s">
        <v>806</v>
      </c>
      <c r="E470" s="53">
        <f t="shared" si="14"/>
        <v>0</v>
      </c>
      <c r="F470" s="53">
        <f t="shared" si="15"/>
        <v>138</v>
      </c>
    </row>
    <row r="471" spans="1:6" ht="34.5" thickBot="1" x14ac:dyDescent="0.3">
      <c r="A471" s="54" t="s">
        <v>189</v>
      </c>
      <c r="B471" s="54" t="s">
        <v>192</v>
      </c>
      <c r="C471" s="55">
        <v>10</v>
      </c>
      <c r="D471" s="54" t="s">
        <v>806</v>
      </c>
      <c r="E471" s="53">
        <f t="shared" si="14"/>
        <v>0</v>
      </c>
      <c r="F471" s="53">
        <f t="shared" si="15"/>
        <v>138</v>
      </c>
    </row>
    <row r="472" spans="1:6" ht="15.75" thickBot="1" x14ac:dyDescent="0.3">
      <c r="A472" s="54" t="s">
        <v>189</v>
      </c>
      <c r="B472" s="54" t="s">
        <v>18</v>
      </c>
      <c r="C472" s="55">
        <v>1</v>
      </c>
      <c r="D472" s="54" t="s">
        <v>269</v>
      </c>
      <c r="E472" s="53">
        <f t="shared" si="14"/>
        <v>0</v>
      </c>
      <c r="F472" s="53">
        <f t="shared" si="15"/>
        <v>66</v>
      </c>
    </row>
    <row r="473" spans="1:6" ht="15.75" thickBot="1" x14ac:dyDescent="0.3">
      <c r="A473" s="54" t="s">
        <v>189</v>
      </c>
      <c r="B473" s="54" t="s">
        <v>18</v>
      </c>
      <c r="C473" s="55">
        <v>2</v>
      </c>
      <c r="D473" s="54" t="s">
        <v>269</v>
      </c>
      <c r="E473" s="53">
        <f t="shared" si="14"/>
        <v>0</v>
      </c>
      <c r="F473" s="53">
        <f t="shared" si="15"/>
        <v>66</v>
      </c>
    </row>
    <row r="474" spans="1:6" ht="15.75" thickBot="1" x14ac:dyDescent="0.3">
      <c r="A474" s="54" t="s">
        <v>189</v>
      </c>
      <c r="B474" s="54" t="s">
        <v>18</v>
      </c>
      <c r="C474" s="55">
        <v>3</v>
      </c>
      <c r="D474" s="54" t="s">
        <v>269</v>
      </c>
      <c r="E474" s="53">
        <f t="shared" si="14"/>
        <v>0</v>
      </c>
      <c r="F474" s="53">
        <f t="shared" si="15"/>
        <v>66</v>
      </c>
    </row>
    <row r="475" spans="1:6" ht="15.75" thickBot="1" x14ac:dyDescent="0.3">
      <c r="A475" s="54" t="s">
        <v>189</v>
      </c>
      <c r="B475" s="54" t="s">
        <v>18</v>
      </c>
      <c r="C475" s="55">
        <v>4</v>
      </c>
      <c r="D475" s="54" t="s">
        <v>269</v>
      </c>
      <c r="E475" s="53">
        <f t="shared" si="14"/>
        <v>0</v>
      </c>
      <c r="F475" s="53">
        <f t="shared" si="15"/>
        <v>66</v>
      </c>
    </row>
    <row r="476" spans="1:6" ht="15.75" thickBot="1" x14ac:dyDescent="0.3">
      <c r="A476" s="54" t="s">
        <v>189</v>
      </c>
      <c r="B476" s="54" t="s">
        <v>18</v>
      </c>
      <c r="C476" s="55">
        <v>5</v>
      </c>
      <c r="D476" s="54" t="s">
        <v>269</v>
      </c>
      <c r="E476" s="53">
        <f t="shared" si="14"/>
        <v>0</v>
      </c>
      <c r="F476" s="53">
        <f t="shared" si="15"/>
        <v>66</v>
      </c>
    </row>
    <row r="477" spans="1:6" ht="15.75" thickBot="1" x14ac:dyDescent="0.3">
      <c r="A477" s="54" t="s">
        <v>189</v>
      </c>
      <c r="B477" s="54" t="s">
        <v>18</v>
      </c>
      <c r="C477" s="55">
        <v>6</v>
      </c>
      <c r="D477" s="54" t="s">
        <v>200</v>
      </c>
      <c r="E477" s="53">
        <f t="shared" si="14"/>
        <v>0</v>
      </c>
      <c r="F477" s="53">
        <f t="shared" si="15"/>
        <v>88</v>
      </c>
    </row>
    <row r="478" spans="1:6" ht="15.75" thickBot="1" x14ac:dyDescent="0.3">
      <c r="A478" s="54" t="s">
        <v>189</v>
      </c>
      <c r="B478" s="54" t="s">
        <v>18</v>
      </c>
      <c r="C478" s="55">
        <v>7</v>
      </c>
      <c r="D478" s="54" t="s">
        <v>200</v>
      </c>
      <c r="E478" s="53">
        <f t="shared" si="14"/>
        <v>0</v>
      </c>
      <c r="F478" s="53">
        <f t="shared" si="15"/>
        <v>88</v>
      </c>
    </row>
    <row r="479" spans="1:6" ht="15.75" thickBot="1" x14ac:dyDescent="0.3">
      <c r="A479" s="54" t="s">
        <v>189</v>
      </c>
      <c r="B479" s="54" t="s">
        <v>18</v>
      </c>
      <c r="C479" s="55">
        <v>8</v>
      </c>
      <c r="D479" s="54" t="s">
        <v>200</v>
      </c>
      <c r="E479" s="53">
        <f t="shared" si="14"/>
        <v>0</v>
      </c>
      <c r="F479" s="53">
        <f t="shared" si="15"/>
        <v>88</v>
      </c>
    </row>
    <row r="480" spans="1:6" ht="15.75" thickBot="1" x14ac:dyDescent="0.3">
      <c r="A480" s="54" t="s">
        <v>189</v>
      </c>
      <c r="B480" s="54" t="s">
        <v>18</v>
      </c>
      <c r="C480" s="55">
        <v>9</v>
      </c>
      <c r="D480" s="54" t="s">
        <v>200</v>
      </c>
      <c r="E480" s="53">
        <f t="shared" si="14"/>
        <v>0</v>
      </c>
      <c r="F480" s="53">
        <f t="shared" si="15"/>
        <v>88</v>
      </c>
    </row>
    <row r="481" spans="1:6" ht="15.75" thickBot="1" x14ac:dyDescent="0.3">
      <c r="A481" s="54" t="s">
        <v>189</v>
      </c>
      <c r="B481" s="54" t="s">
        <v>18</v>
      </c>
      <c r="C481" s="55">
        <v>10</v>
      </c>
      <c r="D481" s="54" t="s">
        <v>200</v>
      </c>
      <c r="E481" s="53">
        <f t="shared" si="14"/>
        <v>0</v>
      </c>
      <c r="F481" s="53">
        <f t="shared" si="15"/>
        <v>88</v>
      </c>
    </row>
    <row r="482" spans="1:6" ht="23.25" thickBot="1" x14ac:dyDescent="0.3">
      <c r="A482" s="54" t="s">
        <v>189</v>
      </c>
      <c r="B482" s="54" t="s">
        <v>19</v>
      </c>
      <c r="C482" s="55">
        <v>1</v>
      </c>
      <c r="D482" s="54" t="s">
        <v>270</v>
      </c>
      <c r="E482" s="53">
        <f t="shared" si="14"/>
        <v>0</v>
      </c>
      <c r="F482" s="53">
        <f t="shared" si="15"/>
        <v>118</v>
      </c>
    </row>
    <row r="483" spans="1:6" ht="23.25" thickBot="1" x14ac:dyDescent="0.3">
      <c r="A483" s="54" t="s">
        <v>189</v>
      </c>
      <c r="B483" s="54" t="s">
        <v>19</v>
      </c>
      <c r="C483" s="55">
        <v>2</v>
      </c>
      <c r="D483" s="54" t="s">
        <v>270</v>
      </c>
      <c r="E483" s="53">
        <f t="shared" si="14"/>
        <v>0</v>
      </c>
      <c r="F483" s="53">
        <f t="shared" si="15"/>
        <v>118</v>
      </c>
    </row>
    <row r="484" spans="1:6" ht="23.25" thickBot="1" x14ac:dyDescent="0.3">
      <c r="A484" s="54" t="s">
        <v>189</v>
      </c>
      <c r="B484" s="54" t="s">
        <v>19</v>
      </c>
      <c r="C484" s="55">
        <v>3</v>
      </c>
      <c r="D484" s="54" t="s">
        <v>270</v>
      </c>
      <c r="E484" s="53">
        <f t="shared" si="14"/>
        <v>0</v>
      </c>
      <c r="F484" s="53">
        <f t="shared" si="15"/>
        <v>118</v>
      </c>
    </row>
    <row r="485" spans="1:6" ht="23.25" thickBot="1" x14ac:dyDescent="0.3">
      <c r="A485" s="54" t="s">
        <v>189</v>
      </c>
      <c r="B485" s="54" t="s">
        <v>19</v>
      </c>
      <c r="C485" s="55">
        <v>4</v>
      </c>
      <c r="D485" s="54" t="s">
        <v>270</v>
      </c>
      <c r="E485" s="53">
        <f t="shared" si="14"/>
        <v>0</v>
      </c>
      <c r="F485" s="53">
        <f t="shared" si="15"/>
        <v>118</v>
      </c>
    </row>
    <row r="486" spans="1:6" ht="23.25" thickBot="1" x14ac:dyDescent="0.3">
      <c r="A486" s="54" t="s">
        <v>189</v>
      </c>
      <c r="B486" s="54" t="s">
        <v>19</v>
      </c>
      <c r="C486" s="55">
        <v>5</v>
      </c>
      <c r="D486" s="54" t="s">
        <v>201</v>
      </c>
      <c r="E486" s="53">
        <f t="shared" si="14"/>
        <v>0</v>
      </c>
      <c r="F486" s="53">
        <f t="shared" si="15"/>
        <v>118</v>
      </c>
    </row>
    <row r="487" spans="1:6" ht="23.25" thickBot="1" x14ac:dyDescent="0.3">
      <c r="A487" s="54" t="s">
        <v>189</v>
      </c>
      <c r="B487" s="54" t="s">
        <v>19</v>
      </c>
      <c r="C487" s="55">
        <v>6</v>
      </c>
      <c r="D487" s="54" t="s">
        <v>201</v>
      </c>
      <c r="E487" s="53">
        <f t="shared" si="14"/>
        <v>0</v>
      </c>
      <c r="F487" s="53">
        <f t="shared" si="15"/>
        <v>118</v>
      </c>
    </row>
    <row r="488" spans="1:6" ht="23.25" thickBot="1" x14ac:dyDescent="0.3">
      <c r="A488" s="54" t="s">
        <v>189</v>
      </c>
      <c r="B488" s="54" t="s">
        <v>19</v>
      </c>
      <c r="C488" s="55">
        <v>7</v>
      </c>
      <c r="D488" s="54" t="s">
        <v>201</v>
      </c>
      <c r="E488" s="53">
        <f t="shared" si="14"/>
        <v>0</v>
      </c>
      <c r="F488" s="53">
        <f t="shared" si="15"/>
        <v>118</v>
      </c>
    </row>
    <row r="489" spans="1:6" ht="23.25" thickBot="1" x14ac:dyDescent="0.3">
      <c r="A489" s="54" t="s">
        <v>189</v>
      </c>
      <c r="B489" s="54" t="s">
        <v>19</v>
      </c>
      <c r="C489" s="55">
        <v>8</v>
      </c>
      <c r="D489" s="54" t="s">
        <v>201</v>
      </c>
      <c r="E489" s="53">
        <f t="shared" si="14"/>
        <v>0</v>
      </c>
      <c r="F489" s="53">
        <f t="shared" si="15"/>
        <v>118</v>
      </c>
    </row>
    <row r="490" spans="1:6" ht="23.25" thickBot="1" x14ac:dyDescent="0.3">
      <c r="A490" s="54" t="s">
        <v>189</v>
      </c>
      <c r="B490" s="54" t="s">
        <v>19</v>
      </c>
      <c r="C490" s="55">
        <v>9</v>
      </c>
      <c r="D490" s="54" t="s">
        <v>201</v>
      </c>
      <c r="E490" s="53">
        <f t="shared" si="14"/>
        <v>0</v>
      </c>
      <c r="F490" s="53">
        <f t="shared" si="15"/>
        <v>118</v>
      </c>
    </row>
    <row r="491" spans="1:6" ht="23.25" thickBot="1" x14ac:dyDescent="0.3">
      <c r="A491" s="54" t="s">
        <v>189</v>
      </c>
      <c r="B491" s="54" t="s">
        <v>19</v>
      </c>
      <c r="C491" s="55">
        <v>10</v>
      </c>
      <c r="D491" s="54" t="s">
        <v>201</v>
      </c>
      <c r="E491" s="53">
        <f t="shared" si="14"/>
        <v>0</v>
      </c>
      <c r="F491" s="53">
        <f t="shared" si="15"/>
        <v>118</v>
      </c>
    </row>
    <row r="492" spans="1:6" ht="23.25" thickBot="1" x14ac:dyDescent="0.3">
      <c r="A492" s="54" t="s">
        <v>189</v>
      </c>
      <c r="B492" s="54" t="s">
        <v>193</v>
      </c>
      <c r="C492" s="55">
        <v>1</v>
      </c>
      <c r="D492" s="54" t="s">
        <v>271</v>
      </c>
      <c r="E492" s="53">
        <f t="shared" si="14"/>
        <v>0</v>
      </c>
      <c r="F492" s="53">
        <f t="shared" si="15"/>
        <v>113</v>
      </c>
    </row>
    <row r="493" spans="1:6" ht="23.25" thickBot="1" x14ac:dyDescent="0.3">
      <c r="A493" s="54" t="s">
        <v>189</v>
      </c>
      <c r="B493" s="54" t="s">
        <v>193</v>
      </c>
      <c r="C493" s="55">
        <v>2</v>
      </c>
      <c r="D493" s="54" t="s">
        <v>271</v>
      </c>
      <c r="E493" s="53">
        <f t="shared" si="14"/>
        <v>0</v>
      </c>
      <c r="F493" s="53">
        <f t="shared" si="15"/>
        <v>113</v>
      </c>
    </row>
    <row r="494" spans="1:6" ht="23.25" thickBot="1" x14ac:dyDescent="0.3">
      <c r="A494" s="54" t="s">
        <v>189</v>
      </c>
      <c r="B494" s="54" t="s">
        <v>193</v>
      </c>
      <c r="C494" s="55">
        <v>3</v>
      </c>
      <c r="D494" s="54" t="s">
        <v>271</v>
      </c>
      <c r="E494" s="53">
        <f t="shared" si="14"/>
        <v>0</v>
      </c>
      <c r="F494" s="53">
        <f t="shared" si="15"/>
        <v>113</v>
      </c>
    </row>
    <row r="495" spans="1:6" ht="23.25" thickBot="1" x14ac:dyDescent="0.3">
      <c r="A495" s="54" t="s">
        <v>189</v>
      </c>
      <c r="B495" s="54" t="s">
        <v>193</v>
      </c>
      <c r="C495" s="55">
        <v>4</v>
      </c>
      <c r="D495" s="54" t="s">
        <v>271</v>
      </c>
      <c r="E495" s="53">
        <f t="shared" si="14"/>
        <v>0</v>
      </c>
      <c r="F495" s="53">
        <f t="shared" si="15"/>
        <v>113</v>
      </c>
    </row>
    <row r="496" spans="1:6" ht="23.25" thickBot="1" x14ac:dyDescent="0.3">
      <c r="A496" s="54" t="s">
        <v>189</v>
      </c>
      <c r="B496" s="54" t="s">
        <v>193</v>
      </c>
      <c r="C496" s="55">
        <v>5</v>
      </c>
      <c r="D496" s="54" t="s">
        <v>272</v>
      </c>
      <c r="E496" s="53">
        <f t="shared" si="14"/>
        <v>0</v>
      </c>
      <c r="F496" s="53">
        <f t="shared" si="15"/>
        <v>133</v>
      </c>
    </row>
    <row r="497" spans="1:6" ht="23.25" thickBot="1" x14ac:dyDescent="0.3">
      <c r="A497" s="54" t="s">
        <v>189</v>
      </c>
      <c r="B497" s="54" t="s">
        <v>193</v>
      </c>
      <c r="C497" s="55">
        <v>6</v>
      </c>
      <c r="D497" s="54" t="s">
        <v>272</v>
      </c>
      <c r="E497" s="53">
        <f t="shared" si="14"/>
        <v>0</v>
      </c>
      <c r="F497" s="53">
        <f t="shared" si="15"/>
        <v>133</v>
      </c>
    </row>
    <row r="498" spans="1:6" ht="23.25" thickBot="1" x14ac:dyDescent="0.3">
      <c r="A498" s="54" t="s">
        <v>189</v>
      </c>
      <c r="B498" s="54" t="s">
        <v>193</v>
      </c>
      <c r="C498" s="55">
        <v>7</v>
      </c>
      <c r="D498" s="54" t="s">
        <v>272</v>
      </c>
      <c r="E498" s="53">
        <f t="shared" si="14"/>
        <v>0</v>
      </c>
      <c r="F498" s="53">
        <f t="shared" si="15"/>
        <v>133</v>
      </c>
    </row>
    <row r="499" spans="1:6" ht="23.25" thickBot="1" x14ac:dyDescent="0.3">
      <c r="A499" s="54" t="s">
        <v>189</v>
      </c>
      <c r="B499" s="54" t="s">
        <v>193</v>
      </c>
      <c r="C499" s="55">
        <v>8</v>
      </c>
      <c r="D499" s="54" t="s">
        <v>272</v>
      </c>
      <c r="E499" s="53">
        <f t="shared" si="14"/>
        <v>0</v>
      </c>
      <c r="F499" s="53">
        <f t="shared" si="15"/>
        <v>133</v>
      </c>
    </row>
    <row r="500" spans="1:6" ht="23.25" thickBot="1" x14ac:dyDescent="0.3">
      <c r="A500" s="54" t="s">
        <v>189</v>
      </c>
      <c r="B500" s="54" t="s">
        <v>193</v>
      </c>
      <c r="C500" s="55">
        <v>9</v>
      </c>
      <c r="D500" s="54" t="s">
        <v>272</v>
      </c>
      <c r="E500" s="53">
        <f t="shared" si="14"/>
        <v>0</v>
      </c>
      <c r="F500" s="53">
        <f t="shared" si="15"/>
        <v>133</v>
      </c>
    </row>
    <row r="501" spans="1:6" ht="23.25" thickBot="1" x14ac:dyDescent="0.3">
      <c r="A501" s="54" t="s">
        <v>189</v>
      </c>
      <c r="B501" s="54" t="s">
        <v>193</v>
      </c>
      <c r="C501" s="55">
        <v>10</v>
      </c>
      <c r="D501" s="54" t="s">
        <v>272</v>
      </c>
      <c r="E501" s="53">
        <f t="shared" si="14"/>
        <v>0</v>
      </c>
      <c r="F501" s="53">
        <f t="shared" si="15"/>
        <v>133</v>
      </c>
    </row>
    <row r="502" spans="1:6" ht="23.25" thickBot="1" x14ac:dyDescent="0.3">
      <c r="A502" s="54" t="s">
        <v>189</v>
      </c>
      <c r="B502" s="54" t="s">
        <v>21</v>
      </c>
      <c r="C502" s="55">
        <v>1</v>
      </c>
      <c r="D502" s="54" t="s">
        <v>845</v>
      </c>
      <c r="E502" s="53">
        <f t="shared" si="14"/>
        <v>0</v>
      </c>
      <c r="F502" s="53">
        <f t="shared" si="15"/>
        <v>114</v>
      </c>
    </row>
    <row r="503" spans="1:6" ht="23.25" thickBot="1" x14ac:dyDescent="0.3">
      <c r="A503" s="54" t="s">
        <v>189</v>
      </c>
      <c r="B503" s="54" t="s">
        <v>21</v>
      </c>
      <c r="C503" s="55">
        <v>2</v>
      </c>
      <c r="D503" s="54" t="s">
        <v>845</v>
      </c>
      <c r="E503" s="53">
        <f t="shared" si="14"/>
        <v>0</v>
      </c>
      <c r="F503" s="53">
        <f t="shared" si="15"/>
        <v>114</v>
      </c>
    </row>
    <row r="504" spans="1:6" ht="23.25" thickBot="1" x14ac:dyDescent="0.3">
      <c r="A504" s="54" t="s">
        <v>189</v>
      </c>
      <c r="B504" s="54" t="s">
        <v>21</v>
      </c>
      <c r="C504" s="55">
        <v>3</v>
      </c>
      <c r="D504" s="54" t="s">
        <v>845</v>
      </c>
      <c r="E504" s="53">
        <f t="shared" si="14"/>
        <v>0</v>
      </c>
      <c r="F504" s="53">
        <f t="shared" si="15"/>
        <v>114</v>
      </c>
    </row>
    <row r="505" spans="1:6" ht="23.25" thickBot="1" x14ac:dyDescent="0.3">
      <c r="A505" s="54" t="s">
        <v>189</v>
      </c>
      <c r="B505" s="54" t="s">
        <v>21</v>
      </c>
      <c r="C505" s="55">
        <v>4</v>
      </c>
      <c r="D505" s="54" t="s">
        <v>845</v>
      </c>
      <c r="E505" s="53">
        <f t="shared" si="14"/>
        <v>0</v>
      </c>
      <c r="F505" s="53">
        <f t="shared" si="15"/>
        <v>114</v>
      </c>
    </row>
    <row r="506" spans="1:6" ht="15.75" thickBot="1" x14ac:dyDescent="0.3">
      <c r="A506" s="54" t="s">
        <v>189</v>
      </c>
      <c r="B506" s="54" t="s">
        <v>21</v>
      </c>
      <c r="C506" s="55">
        <v>5</v>
      </c>
      <c r="D506" s="54" t="s">
        <v>844</v>
      </c>
      <c r="E506" s="53">
        <f t="shared" si="14"/>
        <v>0</v>
      </c>
      <c r="F506" s="53">
        <f t="shared" si="15"/>
        <v>97</v>
      </c>
    </row>
    <row r="507" spans="1:6" ht="15.75" thickBot="1" x14ac:dyDescent="0.3">
      <c r="A507" s="54" t="s">
        <v>189</v>
      </c>
      <c r="B507" s="54" t="s">
        <v>21</v>
      </c>
      <c r="C507" s="55">
        <v>6</v>
      </c>
      <c r="D507" s="54" t="s">
        <v>273</v>
      </c>
      <c r="E507" s="53">
        <f t="shared" si="14"/>
        <v>0</v>
      </c>
      <c r="F507" s="53">
        <f t="shared" si="15"/>
        <v>91</v>
      </c>
    </row>
    <row r="508" spans="1:6" ht="15.75" thickBot="1" x14ac:dyDescent="0.3">
      <c r="A508" s="54" t="s">
        <v>189</v>
      </c>
      <c r="B508" s="54" t="s">
        <v>21</v>
      </c>
      <c r="C508" s="55">
        <v>7</v>
      </c>
      <c r="D508" s="54" t="s">
        <v>273</v>
      </c>
      <c r="E508" s="53">
        <f t="shared" si="14"/>
        <v>0</v>
      </c>
      <c r="F508" s="53">
        <f t="shared" si="15"/>
        <v>91</v>
      </c>
    </row>
    <row r="509" spans="1:6" ht="23.25" thickBot="1" x14ac:dyDescent="0.3">
      <c r="A509" s="54" t="s">
        <v>189</v>
      </c>
      <c r="B509" s="54" t="s">
        <v>21</v>
      </c>
      <c r="C509" s="55">
        <v>8</v>
      </c>
      <c r="D509" s="54" t="s">
        <v>274</v>
      </c>
      <c r="E509" s="53">
        <f t="shared" si="14"/>
        <v>0</v>
      </c>
      <c r="F509" s="53">
        <f t="shared" si="15"/>
        <v>162</v>
      </c>
    </row>
    <row r="510" spans="1:6" ht="23.25" thickBot="1" x14ac:dyDescent="0.3">
      <c r="A510" s="54" t="s">
        <v>189</v>
      </c>
      <c r="B510" s="54" t="s">
        <v>21</v>
      </c>
      <c r="C510" s="55">
        <v>9</v>
      </c>
      <c r="D510" s="54" t="s">
        <v>274</v>
      </c>
      <c r="E510" s="53">
        <f t="shared" si="14"/>
        <v>0</v>
      </c>
      <c r="F510" s="53">
        <f t="shared" si="15"/>
        <v>162</v>
      </c>
    </row>
    <row r="511" spans="1:6" ht="23.25" thickBot="1" x14ac:dyDescent="0.3">
      <c r="A511" s="54" t="s">
        <v>189</v>
      </c>
      <c r="B511" s="54" t="s">
        <v>21</v>
      </c>
      <c r="C511" s="55">
        <v>10</v>
      </c>
      <c r="D511" s="54" t="s">
        <v>274</v>
      </c>
      <c r="E511" s="53">
        <f t="shared" si="14"/>
        <v>0</v>
      </c>
      <c r="F511" s="53">
        <f t="shared" si="15"/>
        <v>162</v>
      </c>
    </row>
    <row r="512" spans="1:6" ht="15.75" thickBot="1" x14ac:dyDescent="0.3">
      <c r="A512" s="54" t="s">
        <v>189</v>
      </c>
      <c r="B512" s="54" t="s">
        <v>194</v>
      </c>
      <c r="C512" s="55">
        <v>1</v>
      </c>
      <c r="D512" s="54" t="s">
        <v>275</v>
      </c>
      <c r="E512" s="53">
        <f t="shared" si="14"/>
        <v>0</v>
      </c>
      <c r="F512" s="53">
        <f t="shared" si="15"/>
        <v>65</v>
      </c>
    </row>
    <row r="513" spans="1:6" ht="15.75" thickBot="1" x14ac:dyDescent="0.3">
      <c r="A513" s="54" t="s">
        <v>189</v>
      </c>
      <c r="B513" s="54" t="s">
        <v>194</v>
      </c>
      <c r="C513" s="55">
        <v>2</v>
      </c>
      <c r="D513" s="54" t="s">
        <v>275</v>
      </c>
      <c r="E513" s="53">
        <f t="shared" si="14"/>
        <v>0</v>
      </c>
      <c r="F513" s="53">
        <f t="shared" si="15"/>
        <v>65</v>
      </c>
    </row>
    <row r="514" spans="1:6" ht="15.75" thickBot="1" x14ac:dyDescent="0.3">
      <c r="A514" s="54" t="s">
        <v>189</v>
      </c>
      <c r="B514" s="54" t="s">
        <v>194</v>
      </c>
      <c r="C514" s="55">
        <v>3</v>
      </c>
      <c r="D514" s="54" t="s">
        <v>275</v>
      </c>
      <c r="E514" s="53">
        <f t="shared" si="14"/>
        <v>0</v>
      </c>
      <c r="F514" s="53">
        <f t="shared" si="15"/>
        <v>65</v>
      </c>
    </row>
    <row r="515" spans="1:6" ht="15.75" thickBot="1" x14ac:dyDescent="0.3">
      <c r="A515" s="54" t="s">
        <v>189</v>
      </c>
      <c r="B515" s="54" t="s">
        <v>194</v>
      </c>
      <c r="C515" s="55">
        <v>4</v>
      </c>
      <c r="D515" s="54" t="s">
        <v>275</v>
      </c>
      <c r="E515" s="53">
        <f t="shared" ref="E515:E531" si="16">IF(LEN(D515)&lt;170,0,1)</f>
        <v>0</v>
      </c>
      <c r="F515" s="53">
        <f t="shared" ref="F515:F531" si="17">LEN(D515)</f>
        <v>65</v>
      </c>
    </row>
    <row r="516" spans="1:6" ht="23.25" thickBot="1" x14ac:dyDescent="0.3">
      <c r="A516" s="54" t="s">
        <v>189</v>
      </c>
      <c r="B516" s="54" t="s">
        <v>194</v>
      </c>
      <c r="C516" s="55">
        <v>5</v>
      </c>
      <c r="D516" s="54" t="s">
        <v>843</v>
      </c>
      <c r="E516" s="53">
        <f t="shared" si="16"/>
        <v>0</v>
      </c>
      <c r="F516" s="53">
        <f t="shared" si="17"/>
        <v>118</v>
      </c>
    </row>
    <row r="517" spans="1:6" ht="23.25" thickBot="1" x14ac:dyDescent="0.3">
      <c r="A517" s="54" t="s">
        <v>189</v>
      </c>
      <c r="B517" s="54" t="s">
        <v>194</v>
      </c>
      <c r="C517" s="55">
        <v>6</v>
      </c>
      <c r="D517" s="54" t="s">
        <v>276</v>
      </c>
      <c r="E517" s="53">
        <f t="shared" si="16"/>
        <v>0</v>
      </c>
      <c r="F517" s="53">
        <f t="shared" si="17"/>
        <v>127</v>
      </c>
    </row>
    <row r="518" spans="1:6" ht="23.25" thickBot="1" x14ac:dyDescent="0.3">
      <c r="A518" s="54" t="s">
        <v>189</v>
      </c>
      <c r="B518" s="54" t="s">
        <v>194</v>
      </c>
      <c r="C518" s="55">
        <v>7</v>
      </c>
      <c r="D518" s="54" t="s">
        <v>276</v>
      </c>
      <c r="E518" s="53">
        <f t="shared" si="16"/>
        <v>0</v>
      </c>
      <c r="F518" s="53">
        <f t="shared" si="17"/>
        <v>127</v>
      </c>
    </row>
    <row r="519" spans="1:6" ht="23.25" thickBot="1" x14ac:dyDescent="0.3">
      <c r="A519" s="54" t="s">
        <v>189</v>
      </c>
      <c r="B519" s="54" t="s">
        <v>194</v>
      </c>
      <c r="C519" s="55">
        <v>8</v>
      </c>
      <c r="D519" s="54" t="s">
        <v>276</v>
      </c>
      <c r="E519" s="53">
        <f t="shared" si="16"/>
        <v>0</v>
      </c>
      <c r="F519" s="53">
        <f t="shared" si="17"/>
        <v>127</v>
      </c>
    </row>
    <row r="520" spans="1:6" ht="23.25" thickBot="1" x14ac:dyDescent="0.3">
      <c r="A520" s="54" t="s">
        <v>189</v>
      </c>
      <c r="B520" s="54" t="s">
        <v>194</v>
      </c>
      <c r="C520" s="55">
        <v>9</v>
      </c>
      <c r="D520" s="54" t="s">
        <v>276</v>
      </c>
      <c r="E520" s="53">
        <f t="shared" si="16"/>
        <v>0</v>
      </c>
      <c r="F520" s="53">
        <f t="shared" si="17"/>
        <v>127</v>
      </c>
    </row>
    <row r="521" spans="1:6" ht="23.25" thickBot="1" x14ac:dyDescent="0.3">
      <c r="A521" s="54" t="s">
        <v>189</v>
      </c>
      <c r="B521" s="54" t="s">
        <v>194</v>
      </c>
      <c r="C521" s="55">
        <v>10</v>
      </c>
      <c r="D521" s="54" t="s">
        <v>276</v>
      </c>
      <c r="E521" s="53">
        <f t="shared" si="16"/>
        <v>0</v>
      </c>
      <c r="F521" s="53">
        <f t="shared" si="17"/>
        <v>127</v>
      </c>
    </row>
    <row r="522" spans="1:6" ht="23.25" thickBot="1" x14ac:dyDescent="0.3">
      <c r="A522" s="54" t="s">
        <v>189</v>
      </c>
      <c r="B522" s="54" t="s">
        <v>23</v>
      </c>
      <c r="C522" s="55">
        <v>1</v>
      </c>
      <c r="D522" s="54" t="s">
        <v>841</v>
      </c>
      <c r="E522" s="53">
        <f t="shared" si="16"/>
        <v>0</v>
      </c>
      <c r="F522" s="53">
        <f t="shared" si="17"/>
        <v>122</v>
      </c>
    </row>
    <row r="523" spans="1:6" ht="23.25" thickBot="1" x14ac:dyDescent="0.3">
      <c r="A523" s="54" t="s">
        <v>189</v>
      </c>
      <c r="B523" s="54" t="s">
        <v>23</v>
      </c>
      <c r="C523" s="55">
        <v>2</v>
      </c>
      <c r="D523" s="54" t="s">
        <v>841</v>
      </c>
      <c r="E523" s="53">
        <f t="shared" si="16"/>
        <v>0</v>
      </c>
      <c r="F523" s="53">
        <f t="shared" si="17"/>
        <v>122</v>
      </c>
    </row>
    <row r="524" spans="1:6" ht="23.25" thickBot="1" x14ac:dyDescent="0.3">
      <c r="A524" s="54" t="s">
        <v>189</v>
      </c>
      <c r="B524" s="54" t="s">
        <v>23</v>
      </c>
      <c r="C524" s="55">
        <v>3</v>
      </c>
      <c r="D524" s="54" t="s">
        <v>841</v>
      </c>
      <c r="E524" s="53">
        <f t="shared" si="16"/>
        <v>0</v>
      </c>
      <c r="F524" s="53">
        <f t="shared" si="17"/>
        <v>122</v>
      </c>
    </row>
    <row r="525" spans="1:6" ht="23.25" thickBot="1" x14ac:dyDescent="0.3">
      <c r="A525" s="54" t="s">
        <v>189</v>
      </c>
      <c r="B525" s="54" t="s">
        <v>23</v>
      </c>
      <c r="C525" s="55">
        <v>4</v>
      </c>
      <c r="D525" s="54" t="s">
        <v>841</v>
      </c>
      <c r="E525" s="53">
        <f t="shared" si="16"/>
        <v>0</v>
      </c>
      <c r="F525" s="53">
        <f t="shared" si="17"/>
        <v>122</v>
      </c>
    </row>
    <row r="526" spans="1:6" ht="23.25" thickBot="1" x14ac:dyDescent="0.3">
      <c r="A526" s="54" t="s">
        <v>189</v>
      </c>
      <c r="B526" s="54" t="s">
        <v>23</v>
      </c>
      <c r="C526" s="55">
        <v>5</v>
      </c>
      <c r="D526" s="54" t="s">
        <v>842</v>
      </c>
      <c r="E526" s="53">
        <f t="shared" si="16"/>
        <v>0</v>
      </c>
      <c r="F526" s="53">
        <f t="shared" si="17"/>
        <v>109</v>
      </c>
    </row>
    <row r="527" spans="1:6" ht="23.25" thickBot="1" x14ac:dyDescent="0.3">
      <c r="A527" s="54" t="s">
        <v>189</v>
      </c>
      <c r="B527" s="54" t="s">
        <v>23</v>
      </c>
      <c r="C527" s="55">
        <v>6</v>
      </c>
      <c r="D527" s="54" t="s">
        <v>842</v>
      </c>
      <c r="E527" s="53">
        <f t="shared" si="16"/>
        <v>0</v>
      </c>
      <c r="F527" s="53">
        <f t="shared" si="17"/>
        <v>109</v>
      </c>
    </row>
    <row r="528" spans="1:6" ht="23.25" thickBot="1" x14ac:dyDescent="0.3">
      <c r="A528" s="54" t="s">
        <v>189</v>
      </c>
      <c r="B528" s="54" t="s">
        <v>23</v>
      </c>
      <c r="C528" s="55">
        <v>7</v>
      </c>
      <c r="D528" s="54" t="s">
        <v>277</v>
      </c>
      <c r="E528" s="53">
        <f t="shared" si="16"/>
        <v>0</v>
      </c>
      <c r="F528" s="53">
        <f t="shared" si="17"/>
        <v>118</v>
      </c>
    </row>
    <row r="529" spans="1:6" ht="23.25" thickBot="1" x14ac:dyDescent="0.3">
      <c r="A529" s="54" t="s">
        <v>189</v>
      </c>
      <c r="B529" s="54" t="s">
        <v>23</v>
      </c>
      <c r="C529" s="55">
        <v>8</v>
      </c>
      <c r="D529" s="54" t="s">
        <v>277</v>
      </c>
      <c r="E529" s="53">
        <f t="shared" si="16"/>
        <v>0</v>
      </c>
      <c r="F529" s="53">
        <f t="shared" si="17"/>
        <v>118</v>
      </c>
    </row>
    <row r="530" spans="1:6" ht="23.25" thickBot="1" x14ac:dyDescent="0.3">
      <c r="A530" s="54" t="s">
        <v>189</v>
      </c>
      <c r="B530" s="54" t="s">
        <v>23</v>
      </c>
      <c r="C530" s="55">
        <v>9</v>
      </c>
      <c r="D530" s="54" t="s">
        <v>277</v>
      </c>
      <c r="E530" s="53">
        <f t="shared" si="16"/>
        <v>0</v>
      </c>
      <c r="F530" s="53">
        <f t="shared" si="17"/>
        <v>118</v>
      </c>
    </row>
    <row r="531" spans="1:6" ht="23.25" thickBot="1" x14ac:dyDescent="0.3">
      <c r="A531" s="54" t="s">
        <v>189</v>
      </c>
      <c r="B531" s="54" t="s">
        <v>23</v>
      </c>
      <c r="C531" s="55">
        <v>10</v>
      </c>
      <c r="D531" s="54" t="s">
        <v>277</v>
      </c>
      <c r="E531" s="53">
        <f t="shared" si="16"/>
        <v>0</v>
      </c>
      <c r="F531" s="53">
        <f t="shared" si="17"/>
        <v>118</v>
      </c>
    </row>
  </sheetData>
  <autoFilter ref="A1:F531" xr:uid="{00000000-0009-0000-0000-000006000000}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76028A-5C07-497E-A96F-C8219D9C49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ответы</vt:lpstr>
      <vt:lpstr>ДАННЫЕ</vt:lpstr>
      <vt:lpstr>комментарии для отчета</vt:lpstr>
    </vt:vector>
  </TitlesOfParts>
  <Company>Mildsoft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StartExam</dc:creator>
  <cp:lastModifiedBy>Родин Алексей</cp:lastModifiedBy>
  <dcterms:created xsi:type="dcterms:W3CDTF">2022-06-27T10:24:25Z</dcterms:created>
  <dcterms:modified xsi:type="dcterms:W3CDTF">2022-12-15T18:51:49Z</dcterms:modified>
</cp:coreProperties>
</file>